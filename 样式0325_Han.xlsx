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D:\Codex\workspace\SOE analysis\"/>
    </mc:Choice>
  </mc:AlternateContent>
  <xr:revisionPtr revIDLastSave="0" documentId="13_ncr:1_{A53DDA00-8B19-4BD6-A3AE-66A69BE9F83D}" xr6:coauthVersionLast="47" xr6:coauthVersionMax="47" xr10:uidLastSave="{00000000-0000-0000-0000-000000000000}"/>
  <bookViews>
    <workbookView xWindow="46680" yWindow="-120" windowWidth="29040" windowHeight="15720" activeTab="2" xr2:uid="{33BEA15B-A3BB-4C72-AADD-1742E48DC7C2}"/>
  </bookViews>
  <sheets>
    <sheet name="runstep" sheetId="2" r:id="rId1"/>
    <sheet name="Summary" sheetId="3" r:id="rId2"/>
    <sheet name="data" sheetId="1" r:id="rId3"/>
  </sheets>
  <definedNames>
    <definedName name="_xlnm._FilterDatabase" localSheetId="2" hidden="1">data!$A$1:$U$164</definedName>
    <definedName name="Slicer_IF_NB">#N/A</definedName>
    <definedName name="Slicer_ValYr">#N/A</definedName>
    <definedName name="Slicer_产品大类">#N/A</definedName>
    <definedName name="Slicer_产品类型">#N/A</definedName>
    <definedName name="Slicer_计量模型">#N/A</definedName>
    <definedName name="Slicer_渠道">#N/A</definedName>
    <definedName name="Slicer_原保_再保">#N/A</definedName>
    <definedName name="Slicer_账户">#N/A</definedName>
    <definedName name="UNIT">Summary!$H$2</definedName>
  </definedNames>
  <calcPr calcId="191029" calcOnSave="0"/>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 i="3" l="1"/>
  <c r="K4" i="3"/>
  <c r="K37" i="3" l="1"/>
  <c r="K36" i="3"/>
  <c r="K35" i="3"/>
  <c r="K34" i="3"/>
  <c r="K33" i="3"/>
  <c r="K32" i="3"/>
  <c r="K42" i="3"/>
  <c r="K38" i="3"/>
  <c r="K60" i="3" l="1"/>
  <c r="K53" i="3"/>
  <c r="K49" i="3"/>
  <c r="K31" i="3"/>
  <c r="K20" i="3"/>
  <c r="K12" i="3"/>
  <c r="K3" i="3" s="1"/>
  <c r="K11" i="3"/>
  <c r="K10" i="3"/>
  <c r="K9" i="3"/>
  <c r="K8" i="3"/>
  <c r="K7" i="3"/>
  <c r="K5" i="3"/>
  <c r="K48" i="3" l="1"/>
  <c r="K64"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Rao, June (SZ/RC)</author>
  </authors>
  <commentList>
    <comment ref="B1" authorId="0" shapeId="0" xr:uid="{0E6889F8-3B73-4B68-809E-7ECB18B4AFDC}">
      <text>
        <r>
          <rPr>
            <b/>
            <sz val="9"/>
            <color indexed="81"/>
            <rFont val="Tahoma"/>
            <family val="2"/>
          </rPr>
          <t>Rao, June (SZ/RC):</t>
        </r>
        <r>
          <rPr>
            <sz val="9"/>
            <color indexed="81"/>
            <rFont val="Tahoma"/>
            <family val="2"/>
          </rPr>
          <t xml:space="preserve">
BEL/RA/CSM component</t>
        </r>
      </text>
    </comment>
    <comment ref="C1" authorId="0" shapeId="0" xr:uid="{60AA2456-2BF8-4FD5-9237-45481E576923}">
      <text>
        <r>
          <rPr>
            <b/>
            <sz val="9"/>
            <color indexed="81"/>
            <rFont val="Tahoma"/>
            <family val="2"/>
          </rPr>
          <t>Rao, June (SZ/RC):</t>
        </r>
        <r>
          <rPr>
            <sz val="9"/>
            <color indexed="81"/>
            <rFont val="Tahoma"/>
            <family val="2"/>
          </rPr>
          <t xml:space="preserve">
AOC的归属</t>
        </r>
      </text>
    </comment>
    <comment ref="F1" authorId="0" shapeId="0" xr:uid="{776910E2-A334-4DE5-9AC1-6DF9BEC8D039}">
      <text>
        <r>
          <rPr>
            <b/>
            <sz val="9"/>
            <color indexed="81"/>
            <rFont val="Tahoma"/>
            <family val="2"/>
          </rPr>
          <t>Rao, June (SZ/RC):</t>
        </r>
        <r>
          <rPr>
            <sz val="9"/>
            <color indexed="81"/>
            <rFont val="Tahoma"/>
            <family val="2"/>
          </rPr>
          <t xml:space="preserve">
预期也存在one-off影响</t>
        </r>
      </text>
    </comment>
    <comment ref="Q1" authorId="0" shapeId="0" xr:uid="{86742BFF-35D2-4FC2-8E7F-082F6382A2FF}">
      <text>
        <r>
          <rPr>
            <b/>
            <sz val="9"/>
            <color indexed="81"/>
            <rFont val="Tahoma"/>
            <family val="2"/>
          </rPr>
          <t>Rao, June (SZ/RC):</t>
        </r>
        <r>
          <rPr>
            <sz val="9"/>
            <color indexed="81"/>
            <rFont val="Tahoma"/>
            <family val="2"/>
          </rPr>
          <t xml:space="preserve">
待定三级/四级机构维度
（出分支机构报表）</t>
        </r>
      </text>
    </comment>
    <comment ref="S1" authorId="0" shapeId="0" xr:uid="{82F8DDEC-1458-4C35-94BF-10CBC0F8873A}">
      <text>
        <r>
          <rPr>
            <b/>
            <sz val="9"/>
            <color indexed="81"/>
            <rFont val="Tahoma"/>
            <family val="2"/>
          </rPr>
          <t>Rao, June (SZ/RC):</t>
        </r>
        <r>
          <rPr>
            <sz val="9"/>
            <color indexed="81"/>
            <rFont val="Tahoma"/>
            <family val="2"/>
          </rPr>
          <t xml:space="preserve">
当前产品大类到寿险-增额终身寿、寿险-非增额、重疾、储蓄、年金，是否需按假设制度维度调整</t>
        </r>
      </text>
    </comment>
    <comment ref="A12" authorId="0" shapeId="0" xr:uid="{2535DCDD-A5FE-4B48-BF9C-349FC525C6E1}">
      <text>
        <r>
          <rPr>
            <b/>
            <sz val="9"/>
            <color indexed="81"/>
            <rFont val="Tahoma"/>
            <family val="2"/>
          </rPr>
          <t>Rao, June (SZ/RC):</t>
        </r>
        <r>
          <rPr>
            <sz val="9"/>
            <color indexed="81"/>
            <rFont val="Tahoma"/>
            <family val="2"/>
          </rPr>
          <t xml:space="preserve">
待确定预期再保摊回可拆分维度，以及实际再保摊回可拆分维度
预期再保目前投成拆分无法细拆责任（简化按统一比例）
豁免的预实暂不匹配，待专题讨论
脱退仅归因死亡/疾病/退保、不再存在年金/满期偏差
保留拆分前结果</t>
        </r>
      </text>
    </comment>
    <comment ref="A20" authorId="0" shapeId="0" xr:uid="{A6F2A894-DD65-4B81-A66D-BF3148709D88}">
      <text>
        <r>
          <rPr>
            <b/>
            <sz val="9"/>
            <color indexed="81"/>
            <rFont val="Tahoma"/>
            <family val="2"/>
          </rPr>
          <t>Rao, June (SZ/RC):</t>
        </r>
        <r>
          <rPr>
            <sz val="9"/>
            <color indexed="81"/>
            <rFont val="Tahoma"/>
            <family val="2"/>
          </rPr>
          <t xml:space="preserve">
以费用分摊维度对照，待确定预期数可拆分维度
预期仅可按销售和运营费用拆分，无法细拆
预实：一对多 （以预期维度）
待定费用分析维度（预算只到五类）</t>
        </r>
      </text>
    </comment>
    <comment ref="A40" authorId="0" shapeId="0" xr:uid="{4E8DD7BA-E8BE-46E2-85FF-6EF145388B94}">
      <text>
        <r>
          <rPr>
            <b/>
            <sz val="9"/>
            <color indexed="81"/>
            <rFont val="Tahoma"/>
            <family val="2"/>
          </rPr>
          <t>Rao, June (SZ/RC):</t>
        </r>
        <r>
          <rPr>
            <sz val="9"/>
            <color indexed="81"/>
            <rFont val="Tahoma"/>
            <family val="2"/>
          </rPr>
          <t xml:space="preserve">
由于死亡/其他脱退带来的二阶影响恐不好剥离（涉及每月进行各脱退因素经验调整对预期保费的影响，或者说需要将各脱退因素对其余预期数的影响皆进行剥离)</t>
        </r>
      </text>
    </comment>
    <comment ref="A62" authorId="0" shapeId="0" xr:uid="{199F04C5-DCE9-4A85-9BDE-945AB96BD96E}">
      <text>
        <r>
          <rPr>
            <b/>
            <sz val="9"/>
            <color indexed="81"/>
            <rFont val="Tahoma"/>
            <family val="2"/>
          </rPr>
          <t>Rao, June (SZ/RC):</t>
        </r>
        <r>
          <rPr>
            <sz val="9"/>
            <color indexed="81"/>
            <rFont val="Tahoma"/>
            <family val="2"/>
          </rPr>
          <t xml:space="preserve">
拆经验变动和假设变动（细拆假设）
TVOG类似</t>
        </r>
      </text>
    </comment>
    <comment ref="A65" authorId="0" shapeId="0" xr:uid="{9E9241E5-F520-4BBE-88E2-B2811B97A982}">
      <text>
        <r>
          <rPr>
            <b/>
            <sz val="9"/>
            <color indexed="81"/>
            <rFont val="Tahoma"/>
            <family val="2"/>
          </rPr>
          <t>Rao, June (SZ/RC):</t>
        </r>
        <r>
          <rPr>
            <sz val="9"/>
            <color indexed="81"/>
            <rFont val="Tahoma"/>
            <family val="2"/>
          </rPr>
          <t xml:space="preserve">
长险拆分出死亡/疾病未决影响</t>
        </r>
      </text>
    </comment>
    <comment ref="A73" authorId="0" shapeId="0" xr:uid="{50570E13-9C1A-4D8D-BB79-EADF057DD3B4}">
      <text>
        <r>
          <rPr>
            <b/>
            <sz val="9"/>
            <color indexed="81"/>
            <rFont val="Tahoma"/>
            <family val="2"/>
          </rPr>
          <t>Rao, June (SZ/RC):</t>
        </r>
        <r>
          <rPr>
            <sz val="9"/>
            <color indexed="81"/>
            <rFont val="Tahoma"/>
            <family val="2"/>
          </rPr>
          <t xml:space="preserve">
以模型预期变量对照，待确定实际数可拆分维度</t>
        </r>
      </text>
    </comment>
    <comment ref="A112" authorId="0" shapeId="0" xr:uid="{8B864138-94B4-4FC8-8DDB-B5D713179B5F}">
      <text>
        <r>
          <rPr>
            <b/>
            <sz val="9"/>
            <color indexed="81"/>
            <rFont val="Tahoma"/>
            <family val="2"/>
          </rPr>
          <t>Rao, June (SZ/RC):</t>
        </r>
        <r>
          <rPr>
            <sz val="9"/>
            <color indexed="81"/>
            <rFont val="Tahoma"/>
            <family val="2"/>
          </rPr>
          <t xml:space="preserve">
以模型预期变量对照，待确定实际数可拆分维度</t>
        </r>
      </text>
    </comment>
    <comment ref="A122" authorId="0" shapeId="0" xr:uid="{3FDDE697-3303-4750-97BB-35104C4CCFC4}">
      <text>
        <r>
          <rPr>
            <b/>
            <sz val="9"/>
            <color indexed="81"/>
            <rFont val="Tahoma"/>
            <family val="2"/>
          </rPr>
          <t>Rao, June (SZ/RC):</t>
        </r>
        <r>
          <rPr>
            <sz val="9"/>
            <color indexed="81"/>
            <rFont val="Tahoma"/>
            <family val="2"/>
          </rPr>
          <t xml:space="preserve">
待讨论实际投资收益拆分维度
细拆性质（投资收益的OP/N-op分析）
报送口径
market impact &lt;--精算captial报送口径</t>
        </r>
      </text>
    </comment>
    <comment ref="C132" authorId="0" shapeId="0" xr:uid="{444F5EE1-9A81-46B3-9352-D13F35DBD7FD}">
      <text>
        <r>
          <rPr>
            <b/>
            <sz val="9"/>
            <color indexed="81"/>
            <rFont val="Tahoma"/>
            <family val="2"/>
          </rPr>
          <t>Rao, June (SZ/RC):</t>
        </r>
        <r>
          <rPr>
            <sz val="9"/>
            <color indexed="81"/>
            <rFont val="Tahoma"/>
            <family val="2"/>
          </rPr>
          <t xml:space="preserve">
体现LC</t>
        </r>
      </text>
    </comment>
    <comment ref="A159" authorId="0" shapeId="0" xr:uid="{206D5226-1937-472D-89DB-F399E52C95EE}">
      <text>
        <r>
          <rPr>
            <b/>
            <sz val="9"/>
            <color indexed="81"/>
            <rFont val="Tahoma"/>
            <family val="2"/>
          </rPr>
          <t>Rao, June (SZ/RC):</t>
        </r>
        <r>
          <rPr>
            <sz val="9"/>
            <color indexed="81"/>
            <rFont val="Tahoma"/>
            <family val="2"/>
          </rPr>
          <t xml:space="preserve">
Q4会存在进展因子调整</t>
        </r>
      </text>
    </comment>
  </commentList>
</comments>
</file>

<file path=xl/sharedStrings.xml><?xml version="1.0" encoding="utf-8"?>
<sst xmlns="http://schemas.openxmlformats.org/spreadsheetml/2006/main" count="1275" uniqueCount="376">
  <si>
    <t>ValYr</t>
  </si>
  <si>
    <t>GOC</t>
  </si>
  <si>
    <t>Item1</t>
  </si>
  <si>
    <t>期初RA</t>
  </si>
  <si>
    <t>期初CSM</t>
  </si>
  <si>
    <t>期初优化</t>
  </si>
  <si>
    <t>BS</t>
  </si>
  <si>
    <t>CSM</t>
  </si>
  <si>
    <t>CSMLC_RATIO</t>
  </si>
  <si>
    <t>预期利息成本</t>
  </si>
  <si>
    <t>PL</t>
  </si>
  <si>
    <t>预期维持费用</t>
  </si>
  <si>
    <t>TRUE-UP</t>
  </si>
  <si>
    <t>经验调整</t>
  </si>
  <si>
    <t>非经济假设变更</t>
  </si>
  <si>
    <t>模型修改</t>
  </si>
  <si>
    <t>当前</t>
  </si>
  <si>
    <t>拟修改</t>
  </si>
  <si>
    <t>最优</t>
  </si>
  <si>
    <t>预期保费</t>
  </si>
  <si>
    <t>IF/NB</t>
  </si>
  <si>
    <t>OCI</t>
  </si>
  <si>
    <t>现金流偏差调整-CUR校准</t>
  </si>
  <si>
    <t>经济经验偏差调整-BEL</t>
  </si>
  <si>
    <t>RA</t>
  </si>
  <si>
    <t>RA释放</t>
  </si>
  <si>
    <t>RA变动</t>
  </si>
  <si>
    <t>实际维持费用</t>
  </si>
  <si>
    <t>实际保费</t>
  </si>
  <si>
    <t>预期保险成分-死亡</t>
  </si>
  <si>
    <t>预期保险成分-疾病</t>
  </si>
  <si>
    <t>预期保险成分-意外</t>
  </si>
  <si>
    <t>预期保险成分-医疗健康</t>
  </si>
  <si>
    <t>预期保险成分-豁免</t>
  </si>
  <si>
    <t>预期保险成分-年金</t>
  </si>
  <si>
    <t>预期保险成分-退保</t>
  </si>
  <si>
    <t>预期保险成分-满期</t>
  </si>
  <si>
    <t>预期投资成分-死亡</t>
  </si>
  <si>
    <t>预期投资成分-疾病</t>
  </si>
  <si>
    <t>预期投资成分-意外</t>
  </si>
  <si>
    <t>预期投资成分-医疗健康</t>
  </si>
  <si>
    <t>预期投资成分-豁免</t>
  </si>
  <si>
    <t>预期投资成分-年金</t>
  </si>
  <si>
    <t>预期投资成分-退保</t>
  </si>
  <si>
    <t>预期投资成分-满期</t>
  </si>
  <si>
    <t>实际保险成分-死亡</t>
  </si>
  <si>
    <t>实际保险成分-疾病</t>
  </si>
  <si>
    <t>实际保险成分-意外</t>
  </si>
  <si>
    <t>实际保险成分-医疗健康</t>
  </si>
  <si>
    <t>实际保险成分-豁免</t>
  </si>
  <si>
    <t>实际保险成分-年金</t>
  </si>
  <si>
    <t>实际保险成分-退保</t>
  </si>
  <si>
    <t>实际保险成分-满期</t>
  </si>
  <si>
    <t>实际投资成分-死亡</t>
  </si>
  <si>
    <t>实际投资成分-疾病</t>
  </si>
  <si>
    <t>实际投资成分-意外</t>
  </si>
  <si>
    <t>实际投资成分-医疗健康</t>
  </si>
  <si>
    <t>实际投资成分-豁免</t>
  </si>
  <si>
    <t>实际投资成分-年金</t>
  </si>
  <si>
    <t>实际投资成分-退保</t>
  </si>
  <si>
    <t>实际投资成分-满期</t>
  </si>
  <si>
    <t>预期红利给付</t>
  </si>
  <si>
    <t>实际红利给付</t>
  </si>
  <si>
    <t>特储提转差</t>
  </si>
  <si>
    <t>死亡经验调整</t>
  </si>
  <si>
    <t>疾病经验调整</t>
  </si>
  <si>
    <t>退保经验调整</t>
  </si>
  <si>
    <t>其他经验调整</t>
  </si>
  <si>
    <t>死亡率调整</t>
  </si>
  <si>
    <t>疾病率调整</t>
  </si>
  <si>
    <t>退保率调整</t>
  </si>
  <si>
    <t>费用调整</t>
  </si>
  <si>
    <t>Param</t>
  </si>
  <si>
    <t>账户</t>
  </si>
  <si>
    <t>渠道</t>
  </si>
  <si>
    <t>产品大类</t>
  </si>
  <si>
    <t>产品类型</t>
  </si>
  <si>
    <t>计量模型</t>
  </si>
  <si>
    <t>CSMLC</t>
  </si>
  <si>
    <t>实际维持费用-Conservation PRE</t>
  </si>
  <si>
    <t>实际维持费用-佣金-直接</t>
  </si>
  <si>
    <t>实际维持费用-佣金-其他</t>
  </si>
  <si>
    <t>实际维持费用-支持费用</t>
  </si>
  <si>
    <t>实际维持费用-普通间接佣金</t>
  </si>
  <si>
    <t>实际维持费用-其他费用</t>
  </si>
  <si>
    <t>实际维持费用-税金及附加</t>
  </si>
  <si>
    <t>实际维持费用-管理费用</t>
  </si>
  <si>
    <t>实际维持费用-资本金监管费</t>
  </si>
  <si>
    <t>实际获取费用-PRE营业费</t>
  </si>
  <si>
    <t>实际获取费用-PRE间佣</t>
  </si>
  <si>
    <t>实际获取费用-业务监管费</t>
  </si>
  <si>
    <t>实际获取费用-佣金-直接</t>
  </si>
  <si>
    <t>实际获取费用-佣金-其他</t>
  </si>
  <si>
    <t>实际获取费用-保险保障基金</t>
  </si>
  <si>
    <t>实际获取费用-支持费用</t>
  </si>
  <si>
    <t>实际获取费用-普通间接佣金</t>
  </si>
  <si>
    <t>实际获取费用-渠道直接费用</t>
  </si>
  <si>
    <t>实际获取费用-管理费用</t>
  </si>
  <si>
    <t>实际获取费用-间佣-财补</t>
  </si>
  <si>
    <t>预期维持费用-Conservation PRE</t>
  </si>
  <si>
    <t>预期维持费用-佣金-直接</t>
  </si>
  <si>
    <t>预期维持费用-佣金-其他</t>
  </si>
  <si>
    <t>预期维持费用-普通间接佣金</t>
  </si>
  <si>
    <t>预期维持费用-管理费用</t>
  </si>
  <si>
    <t>预期维持费用-支持费用</t>
  </si>
  <si>
    <t>预期维持费用-税金及附加</t>
  </si>
  <si>
    <t>预期维持费用-资本金监管费</t>
  </si>
  <si>
    <t>预期维持费用-其他费用</t>
  </si>
  <si>
    <t>预期获取费用-PRE营业费</t>
  </si>
  <si>
    <t>预期获取费用-PRE间佣</t>
  </si>
  <si>
    <t>预期获取费用-业务监管费</t>
  </si>
  <si>
    <t>预期获取费用-佣金-直接</t>
  </si>
  <si>
    <t>预期获取费用-佣金-其他</t>
  </si>
  <si>
    <t>预期获取费用-保险保障基金</t>
  </si>
  <si>
    <t>预期获取费用-支持费用</t>
  </si>
  <si>
    <t>预期获取费用-普通间接佣金</t>
  </si>
  <si>
    <t>预期获取费用-渠道直接费用</t>
  </si>
  <si>
    <t>预期获取费用-管理费用</t>
  </si>
  <si>
    <t>预期获取费用-间佣-财补</t>
  </si>
  <si>
    <t>原保/再保</t>
  </si>
  <si>
    <t>原保</t>
  </si>
  <si>
    <t>IF</t>
  </si>
  <si>
    <t>BBA</t>
  </si>
  <si>
    <t>传统</t>
  </si>
  <si>
    <t>代理人</t>
  </si>
  <si>
    <t>TVOG释放</t>
  </si>
  <si>
    <t>当期TVOG释放的偏差-CURR校准</t>
  </si>
  <si>
    <t>实际PY-死亡</t>
  </si>
  <si>
    <t>实际PY-疾病</t>
  </si>
  <si>
    <t>实际PY-意外</t>
  </si>
  <si>
    <t>实际PY-医疗健康</t>
  </si>
  <si>
    <t>实际PY-豁免</t>
  </si>
  <si>
    <t>实际PY-年金</t>
  </si>
  <si>
    <t>实际PY-退保</t>
  </si>
  <si>
    <t>实际PY-满期</t>
  </si>
  <si>
    <t>Experience_Variance_Expense</t>
  </si>
  <si>
    <t>Experience_Variance_CLM</t>
  </si>
  <si>
    <t>Experience_Variance_OTHS</t>
  </si>
  <si>
    <t>RA_RLS</t>
  </si>
  <si>
    <t>CSM释放</t>
  </si>
  <si>
    <t>CSM_RLS</t>
  </si>
  <si>
    <t>CSM计息</t>
  </si>
  <si>
    <t>未决准备金提转差-PY（进展因子调整前）</t>
  </si>
  <si>
    <t>模块</t>
  </si>
  <si>
    <t>序号</t>
  </si>
  <si>
    <t>项目</t>
  </si>
  <si>
    <t>核算</t>
  </si>
  <si>
    <t>保险服务业绩</t>
  </si>
  <si>
    <t>1-1</t>
  </si>
  <si>
    <t>合同服务边际摊销</t>
  </si>
  <si>
    <t>1-2</t>
  </si>
  <si>
    <t>非金融风险调整释放</t>
  </si>
  <si>
    <t>1-3</t>
  </si>
  <si>
    <t>当期保险成分偏差</t>
  </si>
  <si>
    <t>1-4</t>
  </si>
  <si>
    <t>当期维持费用偏差</t>
  </si>
  <si>
    <t>1-5</t>
  </si>
  <si>
    <t>首日亏损</t>
  </si>
  <si>
    <t>1-6</t>
  </si>
  <si>
    <t>亏损部分的加剧或转回</t>
  </si>
  <si>
    <t>1-7</t>
  </si>
  <si>
    <t>已发生赔款负债的调整</t>
  </si>
  <si>
    <t>1-8</t>
  </si>
  <si>
    <t>短险保险服务业绩</t>
  </si>
  <si>
    <t>保险服务收入</t>
  </si>
  <si>
    <t>1.1.1</t>
  </si>
  <si>
    <t>1.1.2</t>
  </si>
  <si>
    <t>1.1.3</t>
  </si>
  <si>
    <t>预期保险理赔</t>
  </si>
  <si>
    <t>1.1.4</t>
  </si>
  <si>
    <t>1.1.5</t>
  </si>
  <si>
    <t>长险保险获取费用的分摊</t>
  </si>
  <si>
    <t>1.1.6</t>
  </si>
  <si>
    <t>亏损部分的分摊</t>
  </si>
  <si>
    <t>1.1.7</t>
  </si>
  <si>
    <t>短险已赚保费</t>
  </si>
  <si>
    <t>保险服务费用</t>
  </si>
  <si>
    <t>1.2.1</t>
  </si>
  <si>
    <t>实际保险理赔</t>
  </si>
  <si>
    <t>1.2.2</t>
  </si>
  <si>
    <t>1.2.3</t>
  </si>
  <si>
    <t>1.2.4</t>
  </si>
  <si>
    <t>1.2.5</t>
  </si>
  <si>
    <t>1.2.6</t>
  </si>
  <si>
    <t>1.2.7</t>
  </si>
  <si>
    <t>短险理赔和费用支出</t>
  </si>
  <si>
    <t>1.2.8</t>
  </si>
  <si>
    <t>短险保险获取费用</t>
  </si>
  <si>
    <t>1.2.9</t>
  </si>
  <si>
    <t>短险亏损部分提转差</t>
  </si>
  <si>
    <t>1.2.10</t>
  </si>
  <si>
    <t>再保险服务业绩</t>
  </si>
  <si>
    <t>2-1</t>
  </si>
  <si>
    <t>CSM摊销</t>
  </si>
  <si>
    <t>2-2</t>
  </si>
  <si>
    <t>2-3</t>
  </si>
  <si>
    <t>亏损部分的确认和转回</t>
  </si>
  <si>
    <t>2-4</t>
  </si>
  <si>
    <t>nonPAA已发生赔款调整</t>
  </si>
  <si>
    <t>2-5</t>
  </si>
  <si>
    <t>NPR提转差</t>
  </si>
  <si>
    <t>2-6</t>
  </si>
  <si>
    <t>PAA再保险服务业绩</t>
  </si>
  <si>
    <t>分出保费的分摊</t>
  </si>
  <si>
    <t>2.1.1</t>
  </si>
  <si>
    <t>再保CSM摊销</t>
  </si>
  <si>
    <t>2.1.2</t>
  </si>
  <si>
    <t>再保预期赔付费用</t>
  </si>
  <si>
    <t>2.1.3</t>
  </si>
  <si>
    <t>再保PAA保费分摊</t>
  </si>
  <si>
    <t>摊回保险服务费用</t>
  </si>
  <si>
    <t>2.2.1</t>
  </si>
  <si>
    <t>再保摊回实际赔付费用</t>
  </si>
  <si>
    <t>2.2.2</t>
  </si>
  <si>
    <t>再保亏损部分的确认和转回</t>
  </si>
  <si>
    <t>2.2.3</t>
  </si>
  <si>
    <t>再保非PAA已发生赔款调整</t>
  </si>
  <si>
    <t>2.2.4</t>
  </si>
  <si>
    <t>再保NPR提转差</t>
  </si>
  <si>
    <t>2.2.5</t>
  </si>
  <si>
    <t>再保PAA再保险服务费用</t>
  </si>
  <si>
    <t>投资服务业绩</t>
  </si>
  <si>
    <t>投资收益</t>
  </si>
  <si>
    <t>3.1.1</t>
  </si>
  <si>
    <t>利息收入</t>
  </si>
  <si>
    <t>3.1.2</t>
  </si>
  <si>
    <t>公允价值变动</t>
  </si>
  <si>
    <t>VFA公允价值变动</t>
  </si>
  <si>
    <t>承保财务损益</t>
  </si>
  <si>
    <t>3.2.1</t>
  </si>
  <si>
    <t>直保合同计息</t>
  </si>
  <si>
    <t>3.2.1.1</t>
  </si>
  <si>
    <t>非VFA_BEL计息</t>
  </si>
  <si>
    <t>3.2.1.2</t>
  </si>
  <si>
    <t>非VFA_CSM计息</t>
  </si>
  <si>
    <t>3.2.1.4</t>
  </si>
  <si>
    <t>3.2.2</t>
  </si>
  <si>
    <t>再保合同计息</t>
  </si>
  <si>
    <t>其他</t>
  </si>
  <si>
    <t>其他利润</t>
  </si>
  <si>
    <t>4.1.1</t>
  </si>
  <si>
    <t>非履约费用</t>
  </si>
  <si>
    <t>企业所得税</t>
  </si>
  <si>
    <t xml:space="preserve">税后利润 </t>
  </si>
  <si>
    <t>新单初始确认-CSM</t>
  </si>
  <si>
    <t>LC_NB</t>
  </si>
  <si>
    <t>新单初始确认-LC</t>
  </si>
  <si>
    <t>新单初始确认-LC（考虑IACF_True-up）</t>
  </si>
  <si>
    <t>获取费用分摊</t>
  </si>
  <si>
    <t>亏损部分的加剧或转回-EXP</t>
  </si>
  <si>
    <t>未决准备金提转差-PY（进展因子调整）</t>
  </si>
  <si>
    <t>保费偏差</t>
  </si>
  <si>
    <t>投成偏差</t>
  </si>
  <si>
    <t>红利偏差</t>
  </si>
  <si>
    <t>死亡假设变更</t>
  </si>
  <si>
    <t>疾病假设变更</t>
  </si>
  <si>
    <t>退保假设变更</t>
  </si>
  <si>
    <t>费用假设变更</t>
  </si>
  <si>
    <t>死亡导致准备金变更</t>
  </si>
  <si>
    <t>经济经验偏差</t>
  </si>
  <si>
    <t>折现率影响</t>
  </si>
  <si>
    <t>疾病导致准备金变更</t>
  </si>
  <si>
    <t>退保导致准备金变更</t>
  </si>
  <si>
    <t>其他准备金变更</t>
  </si>
  <si>
    <t>其他RA变更</t>
  </si>
  <si>
    <t>模型变更</t>
  </si>
  <si>
    <t>其他TVOG变更</t>
  </si>
  <si>
    <t>获取费用偏差</t>
  </si>
  <si>
    <t>亏损部分的加剧或转回-OTHS</t>
  </si>
  <si>
    <t>Experience_Variance_ST</t>
  </si>
  <si>
    <t>短险未到期提转差</t>
  </si>
  <si>
    <t>短险理赔</t>
  </si>
  <si>
    <t>短险维持费用</t>
  </si>
  <si>
    <t>未决准备金提转差-CY（进展因子调整）</t>
  </si>
  <si>
    <t>未决准备金提转差-CY（进展因子调整前）</t>
  </si>
  <si>
    <t>短险保险获取费用的分摊</t>
  </si>
  <si>
    <t>SAVING_TRAD_AG_2023_2</t>
  </si>
  <si>
    <t>两全</t>
  </si>
  <si>
    <t>储蓄</t>
  </si>
  <si>
    <t>SAVING_TRAD_BA_2023_2</t>
  </si>
  <si>
    <t>银保</t>
  </si>
  <si>
    <t>3.2.1.3</t>
  </si>
  <si>
    <t>VFA-UI FVTPL</t>
  </si>
  <si>
    <t>VFA-UI FVOCI</t>
  </si>
  <si>
    <t>3.1.3</t>
  </si>
  <si>
    <t>公允价值变动收益</t>
  </si>
  <si>
    <t>资产处置收益</t>
  </si>
  <si>
    <t>其他权益工具投资公允价值变动</t>
  </si>
  <si>
    <t>其他债权投资公允价值变动</t>
  </si>
  <si>
    <t>其他债权投资信用损失准备</t>
  </si>
  <si>
    <t>其他利息成本</t>
  </si>
  <si>
    <t>IFIE-PL</t>
  </si>
  <si>
    <t>IFIE-OCI</t>
  </si>
  <si>
    <t>资产OCI</t>
  </si>
  <si>
    <t>BEL</t>
  </si>
  <si>
    <t>最新已按该调整（但并未拆经验/非经济假设）</t>
  </si>
  <si>
    <t>reGOC</t>
  </si>
  <si>
    <t>CF</t>
  </si>
  <si>
    <t>CSM_NB</t>
  </si>
  <si>
    <t>新单初始确认-BEL</t>
  </si>
  <si>
    <t>新单初始确认-RA</t>
  </si>
  <si>
    <t>期末RA</t>
  </si>
  <si>
    <t>期末CSM</t>
  </si>
  <si>
    <t>Experience_Variance_DTH</t>
  </si>
  <si>
    <t>Experience_Variance_DD</t>
  </si>
  <si>
    <t>Experience_Variance_ACC</t>
  </si>
  <si>
    <t>HanRe_2009HKL201_A8_2023_2</t>
  </si>
  <si>
    <t>再保</t>
  </si>
  <si>
    <t>CRITICAL_TRAD_AG_2023_1</t>
  </si>
  <si>
    <t>重疾</t>
  </si>
  <si>
    <t>终身重疾</t>
  </si>
  <si>
    <t>定期重疾</t>
  </si>
  <si>
    <t>CRITICAL_TRAD_AG_2023_2</t>
  </si>
  <si>
    <t>Experience_Variance_HLT</t>
  </si>
  <si>
    <t>Experience_Variance_WP</t>
  </si>
  <si>
    <t>Experience_Variance_ANN</t>
  </si>
  <si>
    <t>Experience_Variance_SURR</t>
  </si>
  <si>
    <t>Experience_Variance_MAT</t>
  </si>
  <si>
    <t>ASSUMP_DTH</t>
  </si>
  <si>
    <t>ASSUMP_DD</t>
  </si>
  <si>
    <t>ASSUMP_SURR</t>
  </si>
  <si>
    <t>ASSUMP_Expense</t>
  </si>
  <si>
    <t>ASSUMP_IBNR</t>
  </si>
  <si>
    <t>亏损部分的加剧或转回-DTH</t>
  </si>
  <si>
    <t>亏损部分的加剧或转回-DD</t>
  </si>
  <si>
    <t>亏损部分的加剧或转回-ACC</t>
  </si>
  <si>
    <t>亏损部分的加剧或转回-HLT</t>
  </si>
  <si>
    <t>亏损部分的加剧或转回-WP</t>
  </si>
  <si>
    <t>亏损部分的加剧或转回-ANN</t>
  </si>
  <si>
    <t>亏损部分的加剧或转回-SURR</t>
  </si>
  <si>
    <t>亏损部分的加剧或转回-MAT</t>
  </si>
  <si>
    <t>亏损部分的加剧或转回-ASP-DTH</t>
  </si>
  <si>
    <t>亏损部分的加剧或转回-ASP-DD</t>
  </si>
  <si>
    <t>亏损部分的加剧或转回-ASP-SURR</t>
  </si>
  <si>
    <t>亏损部分的加剧或转回-ASP-Expense</t>
  </si>
  <si>
    <t>短险期末获取费用余额</t>
  </si>
  <si>
    <t>短险期初获取费用余额</t>
  </si>
  <si>
    <t>期初BEL(含特储/未决/短险未到期)</t>
  </si>
  <si>
    <t>期末BEL(含特储/未决/短险未到期)</t>
  </si>
  <si>
    <t>短险当期获取费用</t>
  </si>
  <si>
    <t>短险当期保费收入</t>
  </si>
  <si>
    <t>byDriver</t>
  </si>
  <si>
    <t>Operating/Non-Op</t>
  </si>
  <si>
    <t>再保合约</t>
  </si>
  <si>
    <t>HanRe_2009HKL201_A8</t>
  </si>
  <si>
    <t>豁免经验调整</t>
  </si>
  <si>
    <t>机构</t>
  </si>
  <si>
    <t>未决准备金提转差-CY-保险成分（进展因子调整）</t>
  </si>
  <si>
    <t>未决准备金提转差-CY-投资成分（进展因子调整）</t>
  </si>
  <si>
    <t>进展因子调整</t>
  </si>
  <si>
    <t>未决准备金提转差-PY-保险成分（进展因子调整）</t>
  </si>
  <si>
    <t>未决准备金提转差-PY-投资成分（进展因子调整）</t>
  </si>
  <si>
    <t>未决准备金提转差-CY-保险成分（进展因子调整前）</t>
  </si>
  <si>
    <t>未决准备金提转差-CY-投资成分（进展因子调整前）</t>
  </si>
  <si>
    <t>未决准备金提转差-PY-保险成分（进展因子调整前）</t>
  </si>
  <si>
    <t>未决准备金提转差-PY-投资成分（进展因子调整前）</t>
  </si>
  <si>
    <t>Driver</t>
  </si>
  <si>
    <t>Long Sheet</t>
  </si>
  <si>
    <t>缩进</t>
  </si>
  <si>
    <t>仅sum</t>
  </si>
  <si>
    <t>Op/Non-Op</t>
  </si>
  <si>
    <t>Operating</t>
  </si>
  <si>
    <t>Non-Operating</t>
  </si>
  <si>
    <t>负债成分</t>
  </si>
  <si>
    <t>Driver大类</t>
  </si>
  <si>
    <t>Driver小类</t>
  </si>
  <si>
    <t>报表归属</t>
  </si>
  <si>
    <t>江苏分</t>
  </si>
  <si>
    <t>上海分</t>
  </si>
  <si>
    <t>MBBA</t>
  </si>
  <si>
    <t>VFA</t>
  </si>
  <si>
    <t>分红</t>
  </si>
  <si>
    <t>万能</t>
  </si>
  <si>
    <t>列标签</t>
  </si>
  <si>
    <t>利差</t>
    <phoneticPr fontId="4" type="noConversion"/>
  </si>
  <si>
    <t>浮盈浮亏偏差</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</si>
</sst>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_(* #,##0.00_);_(* \(#,##0.00\);_(* &quot;-&quot;??_);_(@_)"/>
    <numFmt numFmtId="177" formatCode="_(* #,##0_);_(* \(#,##0\);_(* &quot;-&quot;??_);_(@_)"/>
  </numFmts>
  <fonts count="17" x14ac:knownFonts="1">
    <font>
      <sz val="10"/>
      <color theme="1"/>
      <name val="Arial"/>
      <family val="2"/>
    </font>
    <font>
      <sz val="10"/>
      <color theme="1"/>
      <name val="Arial"/>
      <family val="2"/>
    </font>
    <font>
      <b/>
      <sz val="10"/>
      <color rgb="FFFA7D00"/>
      <name val="Arial"/>
      <family val="2"/>
    </font>
    <font>
      <b/>
      <sz val="10"/>
      <color theme="1"/>
      <name val="Arial"/>
      <family val="2"/>
    </font>
    <font>
      <sz val="8"/>
      <name val="Arial"/>
      <family val="2"/>
    </font>
    <font>
      <sz val="9"/>
      <color indexed="81"/>
      <name val="Tahoma"/>
      <family val="2"/>
    </font>
    <font>
      <b/>
      <sz val="9"/>
      <color indexed="81"/>
      <name val="Tahoma"/>
      <family val="2"/>
    </font>
    <font>
      <b/>
      <sz val="10"/>
      <color theme="0"/>
      <name val="Consolas"/>
      <family val="3"/>
    </font>
    <font>
      <sz val="10"/>
      <color theme="0"/>
      <name val="Consolas"/>
      <family val="3"/>
    </font>
    <font>
      <sz val="10"/>
      <name val="Consolas"/>
      <family val="3"/>
    </font>
    <font>
      <b/>
      <sz val="10"/>
      <color theme="1"/>
      <name val="Consolas"/>
      <family val="3"/>
    </font>
    <font>
      <sz val="10"/>
      <color theme="1"/>
      <name val="Consolas"/>
      <family val="3"/>
    </font>
    <font>
      <sz val="10"/>
      <color theme="0" tint="-0.34998626667073579"/>
      <name val="Consolas"/>
      <family val="3"/>
    </font>
    <font>
      <b/>
      <sz val="10"/>
      <name val="Consolas"/>
      <family val="3"/>
    </font>
    <font>
      <sz val="10"/>
      <color rgb="FFFF0000"/>
      <name val="Arial"/>
      <family val="2"/>
    </font>
    <font>
      <sz val="9"/>
      <name val="宋体"/>
      <family val="3"/>
      <charset val="134"/>
    </font>
    <font>
      <sz val="10"/>
      <color theme="1"/>
      <name val="宋体"/>
      <family val="2"/>
      <charset val="134"/>
    </font>
  </fonts>
  <fills count="15">
    <fill>
      <patternFill patternType="none"/>
    </fill>
    <fill>
      <patternFill patternType="gray125"/>
    </fill>
    <fill>
      <patternFill patternType="solid">
        <fgColor rgb="FFF2F2F2"/>
      </patternFill>
    </fill>
    <fill>
      <patternFill patternType="solid">
        <fgColor theme="8"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rgb="FFFFFFCC"/>
        <bgColor indexed="64"/>
      </patternFill>
    </fill>
    <fill>
      <patternFill patternType="solid">
        <fgColor theme="1" tint="0.14999847407452621"/>
        <bgColor indexed="64"/>
      </patternFill>
    </fill>
    <fill>
      <patternFill patternType="solid">
        <fgColor rgb="FF1E49E2"/>
        <bgColor indexed="64"/>
      </patternFill>
    </fill>
    <fill>
      <patternFill patternType="solid">
        <fgColor theme="0"/>
        <bgColor indexed="64"/>
      </patternFill>
    </fill>
    <fill>
      <patternFill patternType="solid">
        <fgColor rgb="FFFD3E9C"/>
        <bgColor indexed="64"/>
      </patternFill>
    </fill>
    <fill>
      <patternFill patternType="solid">
        <fgColor theme="7" tint="0.79998168889431442"/>
        <bgColor indexed="64"/>
      </patternFill>
    </fill>
    <fill>
      <patternFill patternType="solid">
        <fgColor rgb="FFFFFF00"/>
        <bgColor indexed="64"/>
      </patternFill>
    </fill>
    <fill>
      <patternFill patternType="solid">
        <fgColor theme="9" tint="0.59999389629810485"/>
        <bgColor indexed="64"/>
      </patternFill>
    </fill>
    <fill>
      <patternFill patternType="solid">
        <fgColor theme="0" tint="-0.14999847407452621"/>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s>
  <cellStyleXfs count="3">
    <xf numFmtId="0" fontId="0" fillId="0" borderId="0"/>
    <xf numFmtId="176" fontId="1" fillId="0" borderId="0" applyFont="0" applyFill="0" applyBorder="0" applyAlignment="0" applyProtection="0"/>
    <xf numFmtId="0" fontId="2" fillId="2" borderId="1" applyNumberFormat="0" applyAlignment="0" applyProtection="0"/>
  </cellStyleXfs>
  <cellXfs count="47">
    <xf numFmtId="0" fontId="0" fillId="0" borderId="0" xfId="0"/>
    <xf numFmtId="0" fontId="3" fillId="0" borderId="0" xfId="0" applyFont="1"/>
    <xf numFmtId="0" fontId="0" fillId="3" borderId="0" xfId="0" applyFill="1"/>
    <xf numFmtId="0" fontId="0" fillId="4" borderId="0" xfId="0" applyFill="1"/>
    <xf numFmtId="0" fontId="0" fillId="5" borderId="0" xfId="0" applyFill="1"/>
    <xf numFmtId="0" fontId="0" fillId="6" borderId="0" xfId="0" applyFill="1"/>
    <xf numFmtId="0" fontId="0" fillId="0" borderId="0" xfId="0" pivotButton="1"/>
    <xf numFmtId="0" fontId="0" fillId="0" borderId="0" xfId="0" applyAlignment="1">
      <alignment horizontal="left"/>
    </xf>
    <xf numFmtId="0" fontId="0" fillId="0" borderId="0" xfId="0" applyAlignment="1">
      <alignment horizontal="left" indent="1"/>
    </xf>
    <xf numFmtId="0" fontId="7" fillId="7" borderId="2" xfId="0" applyFont="1" applyFill="1" applyBorder="1" applyAlignment="1">
      <alignment horizontal="left" vertical="center" wrapText="1"/>
    </xf>
    <xf numFmtId="0" fontId="7" fillId="7" borderId="2" xfId="0" applyFont="1" applyFill="1" applyBorder="1" applyAlignment="1">
      <alignment vertical="center" wrapText="1"/>
    </xf>
    <xf numFmtId="0" fontId="7" fillId="7" borderId="2" xfId="0" applyFont="1" applyFill="1" applyBorder="1" applyAlignment="1">
      <alignment horizontal="center"/>
    </xf>
    <xf numFmtId="0" fontId="7" fillId="8" borderId="2" xfId="0" applyFont="1" applyFill="1" applyBorder="1" applyAlignment="1">
      <alignment horizontal="left" vertical="center"/>
    </xf>
    <xf numFmtId="0" fontId="7" fillId="8" borderId="2" xfId="0" applyFont="1" applyFill="1" applyBorder="1" applyAlignment="1">
      <alignment vertical="center"/>
    </xf>
    <xf numFmtId="177" fontId="8" fillId="8" borderId="2" xfId="0" applyNumberFormat="1" applyFont="1" applyFill="1" applyBorder="1"/>
    <xf numFmtId="0" fontId="9" fillId="0" borderId="2" xfId="0" applyFont="1" applyBorder="1" applyAlignment="1">
      <alignment horizontal="left" vertical="center"/>
    </xf>
    <xf numFmtId="16" fontId="9" fillId="0" borderId="2" xfId="0" quotePrefix="1" applyNumberFormat="1" applyFont="1" applyBorder="1" applyAlignment="1">
      <alignment horizontal="left" vertical="center"/>
    </xf>
    <xf numFmtId="0" fontId="9" fillId="0" borderId="2" xfId="0" applyFont="1" applyBorder="1" applyAlignment="1">
      <alignment vertical="center"/>
    </xf>
    <xf numFmtId="177" fontId="9" fillId="9" borderId="2" xfId="0" applyNumberFormat="1" applyFont="1" applyFill="1" applyBorder="1"/>
    <xf numFmtId="0" fontId="10" fillId="4" borderId="2" xfId="0" applyFont="1" applyFill="1" applyBorder="1" applyAlignment="1">
      <alignment horizontal="left" vertical="center"/>
    </xf>
    <xf numFmtId="0" fontId="10" fillId="4" borderId="2" xfId="0" applyFont="1" applyFill="1" applyBorder="1" applyAlignment="1">
      <alignment vertical="center"/>
    </xf>
    <xf numFmtId="177" fontId="11" fillId="4" borderId="2" xfId="0" applyNumberFormat="1" applyFont="1" applyFill="1" applyBorder="1"/>
    <xf numFmtId="177" fontId="11" fillId="9" borderId="2" xfId="1" applyNumberFormat="1" applyFont="1" applyFill="1" applyBorder="1"/>
    <xf numFmtId="176" fontId="8" fillId="8" borderId="2" xfId="1" applyFont="1" applyFill="1" applyBorder="1"/>
    <xf numFmtId="0" fontId="12" fillId="9" borderId="2" xfId="0" applyFont="1" applyFill="1" applyBorder="1"/>
    <xf numFmtId="177" fontId="8" fillId="8" borderId="2" xfId="1" applyNumberFormat="1" applyFont="1" applyFill="1" applyBorder="1"/>
    <xf numFmtId="177" fontId="11" fillId="4" borderId="2" xfId="1" applyNumberFormat="1" applyFont="1" applyFill="1" applyBorder="1"/>
    <xf numFmtId="0" fontId="11" fillId="9" borderId="2" xfId="0" applyFont="1" applyFill="1" applyBorder="1"/>
    <xf numFmtId="177" fontId="11" fillId="9" borderId="2" xfId="0" applyNumberFormat="1" applyFont="1" applyFill="1" applyBorder="1"/>
    <xf numFmtId="0" fontId="11" fillId="0" borderId="2" xfId="0" applyFont="1" applyBorder="1"/>
    <xf numFmtId="0" fontId="11" fillId="0" borderId="2" xfId="0" applyFont="1" applyBorder="1" applyAlignment="1">
      <alignment horizontal="left" vertical="center"/>
    </xf>
    <xf numFmtId="0" fontId="11" fillId="0" borderId="2" xfId="0" applyFont="1" applyBorder="1" applyAlignment="1">
      <alignment vertical="center"/>
    </xf>
    <xf numFmtId="0" fontId="7" fillId="10" borderId="2" xfId="0" applyFont="1" applyFill="1" applyBorder="1" applyAlignment="1">
      <alignment horizontal="left" vertical="center"/>
    </xf>
    <xf numFmtId="0" fontId="7" fillId="10" borderId="2" xfId="0" applyFont="1" applyFill="1" applyBorder="1" applyAlignment="1">
      <alignment vertical="center"/>
    </xf>
    <xf numFmtId="177" fontId="8" fillId="10" borderId="2" xfId="1" applyNumberFormat="1" applyFont="1" applyFill="1" applyBorder="1"/>
    <xf numFmtId="0" fontId="0" fillId="11" borderId="0" xfId="0" applyFill="1"/>
    <xf numFmtId="0" fontId="2" fillId="2" borderId="1" xfId="2"/>
    <xf numFmtId="0" fontId="13" fillId="4" borderId="2" xfId="0" applyFont="1" applyFill="1" applyBorder="1" applyAlignment="1">
      <alignment horizontal="left" vertical="center"/>
    </xf>
    <xf numFmtId="0" fontId="13" fillId="4" borderId="2" xfId="0" applyFont="1" applyFill="1" applyBorder="1" applyAlignment="1">
      <alignment vertical="center"/>
    </xf>
    <xf numFmtId="0" fontId="9" fillId="9" borderId="2" xfId="0" applyFont="1" applyFill="1" applyBorder="1"/>
    <xf numFmtId="0" fontId="0" fillId="12" borderId="0" xfId="0" applyFill="1"/>
    <xf numFmtId="0" fontId="3" fillId="13" borderId="0" xfId="0" applyFont="1" applyFill="1"/>
    <xf numFmtId="0" fontId="14" fillId="6" borderId="0" xfId="0" applyFont="1" applyFill="1"/>
    <xf numFmtId="0" fontId="14" fillId="0" borderId="0" xfId="0" applyFont="1"/>
    <xf numFmtId="0" fontId="0" fillId="14" borderId="0" xfId="0" applyFill="1"/>
    <xf numFmtId="9" fontId="0" fillId="0" borderId="0" xfId="0" applyNumberFormat="1"/>
    <xf numFmtId="0" fontId="16" fillId="0" borderId="0" xfId="0" applyFont="1"/>
  </cellXfs>
  <cellStyles count="3">
    <cellStyle name="常规" xfId="0" builtinId="0"/>
    <cellStyle name="计算" xfId="2" builtinId="22"/>
    <cellStyle name="千位分隔" xfId="1" builtinId="3"/>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07/relationships/slicerCache" Target="slicerCaches/slicerCache8.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sharedStrings" Target="sharedStrings.xml"/><Relationship Id="rId10" Type="http://schemas.microsoft.com/office/2007/relationships/slicerCache" Target="slicerCaches/slicerCache6.xml"/><Relationship Id="rId19" Type="http://schemas.openxmlformats.org/officeDocument/2006/relationships/customXml" Target="../customXml/item3.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0</xdr:col>
      <xdr:colOff>63500</xdr:colOff>
      <xdr:row>1</xdr:row>
      <xdr:rowOff>25400</xdr:rowOff>
    </xdr:from>
    <xdr:to>
      <xdr:col>2</xdr:col>
      <xdr:colOff>286840</xdr:colOff>
      <xdr:row>14</xdr:row>
      <xdr:rowOff>39100</xdr:rowOff>
    </xdr:to>
    <mc:AlternateContent xmlns:mc="http://schemas.openxmlformats.org/markup-compatibility/2006" xmlns:a14="http://schemas.microsoft.com/office/drawing/2010/main">
      <mc:Choice Requires="a14">
        <xdr:graphicFrame macro="">
          <xdr:nvGraphicFramePr>
            <xdr:cNvPr id="2" name="ValYr">
              <a:extLst>
                <a:ext uri="{FF2B5EF4-FFF2-40B4-BE49-F238E27FC236}">
                  <a16:creationId xmlns:a16="http://schemas.microsoft.com/office/drawing/2014/main" id="{2278E562-023E-A473-61BB-00EF159601B9}"/>
                </a:ext>
              </a:extLst>
            </xdr:cNvPr>
            <xdr:cNvGraphicFramePr/>
          </xdr:nvGraphicFramePr>
          <xdr:xfrm>
            <a:off x="0" y="0"/>
            <a:ext cx="0" cy="0"/>
          </xdr:xfrm>
          <a:graphic>
            <a:graphicData uri="http://schemas.microsoft.com/office/drawing/2010/slicer">
              <sle:slicer xmlns:sle="http://schemas.microsoft.com/office/drawing/2010/slicer" name="ValYr"/>
            </a:graphicData>
          </a:graphic>
        </xdr:graphicFrame>
      </mc:Choice>
      <mc:Fallback xmlns="">
        <xdr:sp macro="" textlink="">
          <xdr:nvSpPr>
            <xdr:cNvPr id="0" name=""/>
            <xdr:cNvSpPr>
              <a:spLocks noTextEdit="1"/>
            </xdr:cNvSpPr>
          </xdr:nvSpPr>
          <xdr:spPr>
            <a:xfrm>
              <a:off x="63500" y="25400"/>
              <a:ext cx="1440000" cy="216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14</xdr:row>
      <xdr:rowOff>101600</xdr:rowOff>
    </xdr:from>
    <xdr:to>
      <xdr:col>2</xdr:col>
      <xdr:colOff>286840</xdr:colOff>
      <xdr:row>27</xdr:row>
      <xdr:rowOff>115300</xdr:rowOff>
    </xdr:to>
    <mc:AlternateContent xmlns:mc="http://schemas.openxmlformats.org/markup-compatibility/2006" xmlns:a14="http://schemas.microsoft.com/office/drawing/2010/main">
      <mc:Choice Requires="a14">
        <xdr:graphicFrame macro="">
          <xdr:nvGraphicFramePr>
            <xdr:cNvPr id="3" name="原保/再保">
              <a:extLst>
                <a:ext uri="{FF2B5EF4-FFF2-40B4-BE49-F238E27FC236}">
                  <a16:creationId xmlns:a16="http://schemas.microsoft.com/office/drawing/2014/main" id="{2F4AC904-ED85-015D-A43B-448E21C9D887}"/>
                </a:ext>
              </a:extLst>
            </xdr:cNvPr>
            <xdr:cNvGraphicFramePr/>
          </xdr:nvGraphicFramePr>
          <xdr:xfrm>
            <a:off x="0" y="0"/>
            <a:ext cx="0" cy="0"/>
          </xdr:xfrm>
          <a:graphic>
            <a:graphicData uri="http://schemas.microsoft.com/office/drawing/2010/slicer">
              <sle:slicer xmlns:sle="http://schemas.microsoft.com/office/drawing/2010/slicer" name="原保/再保"/>
            </a:graphicData>
          </a:graphic>
        </xdr:graphicFrame>
      </mc:Choice>
      <mc:Fallback xmlns="">
        <xdr:sp macro="" textlink="">
          <xdr:nvSpPr>
            <xdr:cNvPr id="0" name=""/>
            <xdr:cNvSpPr>
              <a:spLocks noTextEdit="1"/>
            </xdr:cNvSpPr>
          </xdr:nvSpPr>
          <xdr:spPr>
            <a:xfrm>
              <a:off x="63500" y="2247900"/>
              <a:ext cx="1440000" cy="216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419100</xdr:colOff>
      <xdr:row>1</xdr:row>
      <xdr:rowOff>25400</xdr:rowOff>
    </xdr:from>
    <xdr:to>
      <xdr:col>5</xdr:col>
      <xdr:colOff>16330</xdr:colOff>
      <xdr:row>14</xdr:row>
      <xdr:rowOff>39100</xdr:rowOff>
    </xdr:to>
    <mc:AlternateContent xmlns:mc="http://schemas.openxmlformats.org/markup-compatibility/2006" xmlns:a14="http://schemas.microsoft.com/office/drawing/2010/main">
      <mc:Choice Requires="a14">
        <xdr:graphicFrame macro="">
          <xdr:nvGraphicFramePr>
            <xdr:cNvPr id="4" name="IF/NB">
              <a:extLst>
                <a:ext uri="{FF2B5EF4-FFF2-40B4-BE49-F238E27FC236}">
                  <a16:creationId xmlns:a16="http://schemas.microsoft.com/office/drawing/2014/main" id="{6CC6A930-796D-271F-E44C-EDDFE096E3B4}"/>
                </a:ext>
              </a:extLst>
            </xdr:cNvPr>
            <xdr:cNvGraphicFramePr/>
          </xdr:nvGraphicFramePr>
          <xdr:xfrm>
            <a:off x="0" y="0"/>
            <a:ext cx="0" cy="0"/>
          </xdr:xfrm>
          <a:graphic>
            <a:graphicData uri="http://schemas.microsoft.com/office/drawing/2010/slicer">
              <sle:slicer xmlns:sle="http://schemas.microsoft.com/office/drawing/2010/slicer" name="IF/NB"/>
            </a:graphicData>
          </a:graphic>
        </xdr:graphicFrame>
      </mc:Choice>
      <mc:Fallback xmlns="">
        <xdr:sp macro="" textlink="">
          <xdr:nvSpPr>
            <xdr:cNvPr id="0" name=""/>
            <xdr:cNvSpPr>
              <a:spLocks noTextEdit="1"/>
            </xdr:cNvSpPr>
          </xdr:nvSpPr>
          <xdr:spPr>
            <a:xfrm>
              <a:off x="1638300" y="25400"/>
              <a:ext cx="1440000" cy="216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28</xdr:row>
      <xdr:rowOff>19050</xdr:rowOff>
    </xdr:from>
    <xdr:to>
      <xdr:col>2</xdr:col>
      <xdr:colOff>286840</xdr:colOff>
      <xdr:row>41</xdr:row>
      <xdr:rowOff>21320</xdr:rowOff>
    </xdr:to>
    <mc:AlternateContent xmlns:mc="http://schemas.openxmlformats.org/markup-compatibility/2006" xmlns:a14="http://schemas.microsoft.com/office/drawing/2010/main">
      <mc:Choice Requires="a14">
        <xdr:graphicFrame macro="">
          <xdr:nvGraphicFramePr>
            <xdr:cNvPr id="5" name="计量模型">
              <a:extLst>
                <a:ext uri="{FF2B5EF4-FFF2-40B4-BE49-F238E27FC236}">
                  <a16:creationId xmlns:a16="http://schemas.microsoft.com/office/drawing/2014/main" id="{598D0B0F-96B7-4DF4-3DF5-11AD917B7208}"/>
                </a:ext>
              </a:extLst>
            </xdr:cNvPr>
            <xdr:cNvGraphicFramePr/>
          </xdr:nvGraphicFramePr>
          <xdr:xfrm>
            <a:off x="0" y="0"/>
            <a:ext cx="0" cy="0"/>
          </xdr:xfrm>
          <a:graphic>
            <a:graphicData uri="http://schemas.microsoft.com/office/drawing/2010/slicer">
              <sle:slicer xmlns:sle="http://schemas.microsoft.com/office/drawing/2010/slicer" name="计量模型"/>
            </a:graphicData>
          </a:graphic>
        </xdr:graphicFrame>
      </mc:Choice>
      <mc:Fallback xmlns="">
        <xdr:sp macro="" textlink="">
          <xdr:nvSpPr>
            <xdr:cNvPr id="0" name=""/>
            <xdr:cNvSpPr>
              <a:spLocks noTextEdit="1"/>
            </xdr:cNvSpPr>
          </xdr:nvSpPr>
          <xdr:spPr>
            <a:xfrm>
              <a:off x="63500" y="4476750"/>
              <a:ext cx="1440000" cy="216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41</xdr:row>
      <xdr:rowOff>133350</xdr:rowOff>
    </xdr:from>
    <xdr:to>
      <xdr:col>2</xdr:col>
      <xdr:colOff>286840</xdr:colOff>
      <xdr:row>54</xdr:row>
      <xdr:rowOff>135620</xdr:rowOff>
    </xdr:to>
    <mc:AlternateContent xmlns:mc="http://schemas.openxmlformats.org/markup-compatibility/2006" xmlns:a14="http://schemas.microsoft.com/office/drawing/2010/main">
      <mc:Choice Requires="a14">
        <xdr:graphicFrame macro="">
          <xdr:nvGraphicFramePr>
            <xdr:cNvPr id="6" name="账户">
              <a:extLst>
                <a:ext uri="{FF2B5EF4-FFF2-40B4-BE49-F238E27FC236}">
                  <a16:creationId xmlns:a16="http://schemas.microsoft.com/office/drawing/2014/main" id="{1312E005-0242-9FD7-1748-4FD6B4D2B0A0}"/>
                </a:ext>
              </a:extLst>
            </xdr:cNvPr>
            <xdr:cNvGraphicFramePr/>
          </xdr:nvGraphicFramePr>
          <xdr:xfrm>
            <a:off x="0" y="0"/>
            <a:ext cx="0" cy="0"/>
          </xdr:xfrm>
          <a:graphic>
            <a:graphicData uri="http://schemas.microsoft.com/office/drawing/2010/slicer">
              <sle:slicer xmlns:sle="http://schemas.microsoft.com/office/drawing/2010/slicer" name="账户"/>
            </a:graphicData>
          </a:graphic>
        </xdr:graphicFrame>
      </mc:Choice>
      <mc:Fallback xmlns="">
        <xdr:sp macro="" textlink="">
          <xdr:nvSpPr>
            <xdr:cNvPr id="0" name=""/>
            <xdr:cNvSpPr>
              <a:spLocks noTextEdit="1"/>
            </xdr:cNvSpPr>
          </xdr:nvSpPr>
          <xdr:spPr>
            <a:xfrm>
              <a:off x="63500" y="6737350"/>
              <a:ext cx="1440000" cy="216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419100</xdr:colOff>
      <xdr:row>28</xdr:row>
      <xdr:rowOff>19050</xdr:rowOff>
    </xdr:from>
    <xdr:to>
      <xdr:col>5</xdr:col>
      <xdr:colOff>16330</xdr:colOff>
      <xdr:row>41</xdr:row>
      <xdr:rowOff>21320</xdr:rowOff>
    </xdr:to>
    <mc:AlternateContent xmlns:mc="http://schemas.openxmlformats.org/markup-compatibility/2006" xmlns:a14="http://schemas.microsoft.com/office/drawing/2010/main">
      <mc:Choice Requires="a14">
        <xdr:graphicFrame macro="">
          <xdr:nvGraphicFramePr>
            <xdr:cNvPr id="7" name="渠道">
              <a:extLst>
                <a:ext uri="{FF2B5EF4-FFF2-40B4-BE49-F238E27FC236}">
                  <a16:creationId xmlns:a16="http://schemas.microsoft.com/office/drawing/2014/main" id="{76ACAD70-FCCB-B0FD-B751-C45BB434082F}"/>
                </a:ext>
              </a:extLst>
            </xdr:cNvPr>
            <xdr:cNvGraphicFramePr/>
          </xdr:nvGraphicFramePr>
          <xdr:xfrm>
            <a:off x="0" y="0"/>
            <a:ext cx="0" cy="0"/>
          </xdr:xfrm>
          <a:graphic>
            <a:graphicData uri="http://schemas.microsoft.com/office/drawing/2010/slicer">
              <sle:slicer xmlns:sle="http://schemas.microsoft.com/office/drawing/2010/slicer" name="渠道"/>
            </a:graphicData>
          </a:graphic>
        </xdr:graphicFrame>
      </mc:Choice>
      <mc:Fallback xmlns="">
        <xdr:sp macro="" textlink="">
          <xdr:nvSpPr>
            <xdr:cNvPr id="0" name=""/>
            <xdr:cNvSpPr>
              <a:spLocks noTextEdit="1"/>
            </xdr:cNvSpPr>
          </xdr:nvSpPr>
          <xdr:spPr>
            <a:xfrm>
              <a:off x="1638300" y="4476750"/>
              <a:ext cx="1440000" cy="216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419100</xdr:colOff>
      <xdr:row>14</xdr:row>
      <xdr:rowOff>101600</xdr:rowOff>
    </xdr:from>
    <xdr:to>
      <xdr:col>5</xdr:col>
      <xdr:colOff>16330</xdr:colOff>
      <xdr:row>27</xdr:row>
      <xdr:rowOff>115300</xdr:rowOff>
    </xdr:to>
    <mc:AlternateContent xmlns:mc="http://schemas.openxmlformats.org/markup-compatibility/2006" xmlns:a14="http://schemas.microsoft.com/office/drawing/2010/main">
      <mc:Choice Requires="a14">
        <xdr:graphicFrame macro="">
          <xdr:nvGraphicFramePr>
            <xdr:cNvPr id="8" name="产品大类">
              <a:extLst>
                <a:ext uri="{FF2B5EF4-FFF2-40B4-BE49-F238E27FC236}">
                  <a16:creationId xmlns:a16="http://schemas.microsoft.com/office/drawing/2014/main" id="{A2FE2ED6-080C-62CB-DE02-17E5F16FDDF8}"/>
                </a:ext>
              </a:extLst>
            </xdr:cNvPr>
            <xdr:cNvGraphicFramePr/>
          </xdr:nvGraphicFramePr>
          <xdr:xfrm>
            <a:off x="0" y="0"/>
            <a:ext cx="0" cy="0"/>
          </xdr:xfrm>
          <a:graphic>
            <a:graphicData uri="http://schemas.microsoft.com/office/drawing/2010/slicer">
              <sle:slicer xmlns:sle="http://schemas.microsoft.com/office/drawing/2010/slicer" name="产品大类"/>
            </a:graphicData>
          </a:graphic>
        </xdr:graphicFrame>
      </mc:Choice>
      <mc:Fallback xmlns="">
        <xdr:sp macro="" textlink="">
          <xdr:nvSpPr>
            <xdr:cNvPr id="0" name=""/>
            <xdr:cNvSpPr>
              <a:spLocks noTextEdit="1"/>
            </xdr:cNvSpPr>
          </xdr:nvSpPr>
          <xdr:spPr>
            <a:xfrm>
              <a:off x="1638300" y="2247900"/>
              <a:ext cx="1440000" cy="216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419100</xdr:colOff>
      <xdr:row>41</xdr:row>
      <xdr:rowOff>133350</xdr:rowOff>
    </xdr:from>
    <xdr:to>
      <xdr:col>5</xdr:col>
      <xdr:colOff>16330</xdr:colOff>
      <xdr:row>54</xdr:row>
      <xdr:rowOff>135620</xdr:rowOff>
    </xdr:to>
    <mc:AlternateContent xmlns:mc="http://schemas.openxmlformats.org/markup-compatibility/2006" xmlns:a14="http://schemas.microsoft.com/office/drawing/2010/main">
      <mc:Choice Requires="a14">
        <xdr:graphicFrame macro="">
          <xdr:nvGraphicFramePr>
            <xdr:cNvPr id="9" name="产品类型">
              <a:extLst>
                <a:ext uri="{FF2B5EF4-FFF2-40B4-BE49-F238E27FC236}">
                  <a16:creationId xmlns:a16="http://schemas.microsoft.com/office/drawing/2014/main" id="{E1C19E7E-CD0E-F485-D6B9-4474E58B31D4}"/>
                </a:ext>
              </a:extLst>
            </xdr:cNvPr>
            <xdr:cNvGraphicFramePr/>
          </xdr:nvGraphicFramePr>
          <xdr:xfrm>
            <a:off x="0" y="0"/>
            <a:ext cx="0" cy="0"/>
          </xdr:xfrm>
          <a:graphic>
            <a:graphicData uri="http://schemas.microsoft.com/office/drawing/2010/slicer">
              <sle:slicer xmlns:sle="http://schemas.microsoft.com/office/drawing/2010/slicer" name="产品类型"/>
            </a:graphicData>
          </a:graphic>
        </xdr:graphicFrame>
      </mc:Choice>
      <mc:Fallback xmlns="">
        <xdr:sp macro="" textlink="">
          <xdr:nvSpPr>
            <xdr:cNvPr id="0" name=""/>
            <xdr:cNvSpPr>
              <a:spLocks noTextEdit="1"/>
            </xdr:cNvSpPr>
          </xdr:nvSpPr>
          <xdr:spPr>
            <a:xfrm>
              <a:off x="1638300" y="6737350"/>
              <a:ext cx="1440000" cy="216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o, June (SZ/RC)" refreshedDate="46097.440302546296" createdVersion="8" refreshedVersion="8" minRefreshableVersion="3" recordCount="162" xr:uid="{FF3F5D26-A880-4E88-8382-D828CCA1737F}">
  <cacheSource type="worksheet">
    <worksheetSource ref="A1:T164" sheet="data"/>
  </cacheSource>
  <cacheFields count="16">
    <cacheField name="Item1" numFmtId="0">
      <sharedItems/>
    </cacheField>
    <cacheField name="Comp" numFmtId="0">
      <sharedItems/>
    </cacheField>
    <cacheField name="Item2" numFmtId="0">
      <sharedItems containsBlank="1" count="6">
        <s v="BS"/>
        <s v="CSMLC"/>
        <s v="PL"/>
        <s v="OCI"/>
        <s v="Param"/>
        <m u="1"/>
      </sharedItems>
    </cacheField>
    <cacheField name="Item3" numFmtId="0">
      <sharedItems containsBlank="1" count="28">
        <m/>
        <s v="Experience_Variance_OTHS"/>
        <s v="IFIE-PL"/>
        <s v="Experience_Variance_DTH"/>
        <s v="Experience_Variance_DD"/>
        <s v="Experience_Variance_ACC"/>
        <s v="Experience_Variance_HLT"/>
        <s v="Experience_Variance_WP"/>
        <s v="Experience_Variance_ANN"/>
        <s v="Experience_Variance_SURR"/>
        <s v="Experience_Variance_MAT"/>
        <s v="Experience_Variance_Expense"/>
        <s v="IFIE-OCI"/>
        <s v="ASSUMP_DTH"/>
        <s v="ASSUMP_DD"/>
        <s v="ASSUMP_SURR"/>
        <s v="ASSUMP_Expense"/>
        <s v="RA_RLS"/>
        <s v="Experience_Variance_CLM"/>
        <s v="ASSUMP_IBNR"/>
        <s v="Param"/>
        <s v="CSM_NB"/>
        <s v="LC_NB"/>
        <s v="CSM_RLS"/>
        <s v="Experience_Variance_ST"/>
        <s v="ASSUMP" u="1"/>
        <s v="OCI" u="1"/>
        <s v="IFIE" u="1"/>
      </sharedItems>
    </cacheField>
    <cacheField name="Item4" numFmtId="0">
      <sharedItems containsBlank="1" count="46">
        <m/>
        <s v="模型变更"/>
        <s v="非VFA_BEL计息"/>
        <s v="预期保险理赔"/>
        <s v="预期维持费用"/>
        <s v="获取费用偏差"/>
        <s v="保费偏差"/>
        <s v="投成偏差"/>
        <s v="红利偏差"/>
        <s v="折现率影响"/>
        <s v="经济经验偏差"/>
        <s v="死亡导致准备金变更"/>
        <s v="疾病导致准备金变更"/>
        <s v="退保导致准备金变更"/>
        <s v="其他准备金变更"/>
        <s v="死亡假设变更"/>
        <s v="疾病假设变更"/>
        <s v="退保假设变更"/>
        <s v="费用假设变更"/>
        <s v="RA释放"/>
        <s v="其他RA变更"/>
        <s v="TVOG释放"/>
        <s v="其他TVOG变更"/>
        <s v="实际保险理赔"/>
        <s v="已发生赔款负债的调整"/>
        <s v="进展因子调整"/>
        <s v="实际维持费用"/>
        <s v="特储提转差"/>
        <s v="VFA公允价值变动"/>
        <s v="利息收入"/>
        <s v="其他"/>
        <s v="公允价值变动"/>
        <s v="资产OCI"/>
        <s v="Param"/>
        <s v="首日亏损"/>
        <s v="新单初始确认-LC（考虑IACF_True-up）"/>
        <s v="非VFA_CSM计息"/>
        <s v="合同服务边际摊销"/>
        <s v="长险保险获取费用的分摊"/>
        <s v="亏损部分的分摊"/>
        <s v="亏损部分的加剧或转回"/>
        <s v="短险已赚保费"/>
        <s v="短险理赔和费用支出"/>
        <s v="短险保险获取费用的分摊"/>
        <s v="短险亏损部分提转差"/>
        <s v="CSM释放" u="1"/>
      </sharedItems>
    </cacheField>
    <cacheField name="ValYr" numFmtId="0">
      <sharedItems containsString="0" containsBlank="1" containsNumber="1" containsInteger="1" minValue="2025" maxValue="2025" count="2">
        <n v="2025"/>
        <m/>
      </sharedItems>
    </cacheField>
    <cacheField name="GOC" numFmtId="0">
      <sharedItems containsBlank="1"/>
    </cacheField>
    <cacheField name="reGOC" numFmtId="0">
      <sharedItems containsBlank="1"/>
    </cacheField>
    <cacheField name="原保/再保" numFmtId="0">
      <sharedItems containsBlank="1" count="3">
        <s v="原保"/>
        <s v="再保"/>
        <m/>
      </sharedItems>
    </cacheField>
    <cacheField name="IF/NB" numFmtId="0">
      <sharedItems containsBlank="1" count="2">
        <s v="IF"/>
        <m/>
      </sharedItems>
    </cacheField>
    <cacheField name="计量模型" numFmtId="0">
      <sharedItems containsBlank="1" count="2">
        <s v="BBA"/>
        <m/>
      </sharedItems>
    </cacheField>
    <cacheField name="账户" numFmtId="0">
      <sharedItems containsBlank="1" count="2">
        <s v="传统"/>
        <m/>
      </sharedItems>
    </cacheField>
    <cacheField name="渠道" numFmtId="0">
      <sharedItems containsBlank="1" count="3">
        <s v="代理人"/>
        <s v="银保"/>
        <m/>
      </sharedItems>
    </cacheField>
    <cacheField name="产品大类" numFmtId="0">
      <sharedItems containsBlank="1" count="4">
        <s v="重疾"/>
        <s v="储蓄"/>
        <m/>
        <s v="年金" u="1"/>
      </sharedItems>
    </cacheField>
    <cacheField name="产品类型" numFmtId="0">
      <sharedItems containsBlank="1" count="5">
        <s v="定期重疾"/>
        <s v="两全"/>
        <s v="终身重疾"/>
        <m/>
        <s v="年金" u="1"/>
      </sharedItems>
    </cacheField>
    <cacheField name="Value" numFmtId="0">
      <sharedItems containsNonDate="0" containsString="0" containsBlank="1"/>
    </cacheField>
  </cacheFields>
  <extLst>
    <ext xmlns:x14="http://schemas.microsoft.com/office/spreadsheetml/2009/9/main" uri="{725AE2AE-9491-48be-B2B4-4EB974FC3084}">
      <x14:pivotCacheDefinition pivotCacheId="17012364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2">
  <r>
    <s v="期初BEL(含特储/未决/短险未到期)"/>
    <s v="BEL"/>
    <x v="0"/>
    <x v="0"/>
    <x v="0"/>
    <x v="0"/>
    <s v="CRITICAL_TRAD_AG_2023_2"/>
    <m/>
    <x v="0"/>
    <x v="0"/>
    <x v="0"/>
    <x v="0"/>
    <x v="0"/>
    <x v="0"/>
    <x v="0"/>
    <m/>
  </r>
  <r>
    <s v="期初RA"/>
    <s v="RA"/>
    <x v="0"/>
    <x v="0"/>
    <x v="0"/>
    <x v="0"/>
    <s v="SAVING_TRAD_AG_2023_2"/>
    <m/>
    <x v="0"/>
    <x v="0"/>
    <x v="0"/>
    <x v="0"/>
    <x v="0"/>
    <x v="1"/>
    <x v="1"/>
    <m/>
  </r>
  <r>
    <s v="期初CSM"/>
    <s v="CSM"/>
    <x v="0"/>
    <x v="0"/>
    <x v="0"/>
    <x v="0"/>
    <s v="SAVING_TRAD_BA_2023_2"/>
    <m/>
    <x v="0"/>
    <x v="0"/>
    <x v="0"/>
    <x v="0"/>
    <x v="1"/>
    <x v="1"/>
    <x v="1"/>
    <m/>
  </r>
  <r>
    <s v="期末BEL(含特储/未决/短险未到期)"/>
    <s v="BEL"/>
    <x v="0"/>
    <x v="0"/>
    <x v="0"/>
    <x v="0"/>
    <s v="CRITICAL_TRAD_AG_2023_1"/>
    <m/>
    <x v="0"/>
    <x v="0"/>
    <x v="0"/>
    <x v="0"/>
    <x v="0"/>
    <x v="0"/>
    <x v="2"/>
    <m/>
  </r>
  <r>
    <s v="期末RA"/>
    <s v="RA"/>
    <x v="0"/>
    <x v="0"/>
    <x v="0"/>
    <x v="0"/>
    <s v="CRITICAL_TRAD_AG_2023_1"/>
    <s v="HanRe_2009HKL201_A8_2023_2"/>
    <x v="1"/>
    <x v="0"/>
    <x v="0"/>
    <x v="0"/>
    <x v="0"/>
    <x v="0"/>
    <x v="2"/>
    <m/>
  </r>
  <r>
    <s v="期末CSM"/>
    <s v="CSM"/>
    <x v="0"/>
    <x v="0"/>
    <x v="0"/>
    <x v="1"/>
    <m/>
    <m/>
    <x v="2"/>
    <x v="1"/>
    <x v="1"/>
    <x v="1"/>
    <x v="2"/>
    <x v="2"/>
    <x v="3"/>
    <m/>
  </r>
  <r>
    <s v="短险期初获取费用余额"/>
    <s v="BEL"/>
    <x v="0"/>
    <x v="0"/>
    <x v="0"/>
    <x v="1"/>
    <m/>
    <m/>
    <x v="2"/>
    <x v="1"/>
    <x v="1"/>
    <x v="1"/>
    <x v="2"/>
    <x v="2"/>
    <x v="3"/>
    <m/>
  </r>
  <r>
    <s v="短险期末获取费用余额"/>
    <s v="BEL"/>
    <x v="0"/>
    <x v="0"/>
    <x v="0"/>
    <x v="1"/>
    <m/>
    <m/>
    <x v="2"/>
    <x v="1"/>
    <x v="1"/>
    <x v="1"/>
    <x v="2"/>
    <x v="2"/>
    <x v="3"/>
    <m/>
  </r>
  <r>
    <s v="期初优化"/>
    <s v="BEL"/>
    <x v="1"/>
    <x v="1"/>
    <x v="1"/>
    <x v="1"/>
    <m/>
    <m/>
    <x v="2"/>
    <x v="1"/>
    <x v="1"/>
    <x v="1"/>
    <x v="2"/>
    <x v="2"/>
    <x v="3"/>
    <m/>
  </r>
  <r>
    <s v="预期利息成本"/>
    <s v="BEL"/>
    <x v="2"/>
    <x v="2"/>
    <x v="2"/>
    <x v="1"/>
    <m/>
    <m/>
    <x v="2"/>
    <x v="1"/>
    <x v="1"/>
    <x v="1"/>
    <x v="2"/>
    <x v="2"/>
    <x v="3"/>
    <m/>
  </r>
  <r>
    <s v="预期保险成分-死亡"/>
    <s v="BEL"/>
    <x v="2"/>
    <x v="3"/>
    <x v="3"/>
    <x v="1"/>
    <m/>
    <m/>
    <x v="2"/>
    <x v="1"/>
    <x v="1"/>
    <x v="1"/>
    <x v="2"/>
    <x v="2"/>
    <x v="3"/>
    <m/>
  </r>
  <r>
    <s v="预期保险成分-疾病"/>
    <s v="BEL"/>
    <x v="2"/>
    <x v="4"/>
    <x v="3"/>
    <x v="1"/>
    <m/>
    <m/>
    <x v="2"/>
    <x v="1"/>
    <x v="1"/>
    <x v="1"/>
    <x v="2"/>
    <x v="2"/>
    <x v="3"/>
    <m/>
  </r>
  <r>
    <s v="预期保险成分-意外"/>
    <s v="BEL"/>
    <x v="2"/>
    <x v="5"/>
    <x v="3"/>
    <x v="1"/>
    <m/>
    <m/>
    <x v="2"/>
    <x v="1"/>
    <x v="1"/>
    <x v="1"/>
    <x v="2"/>
    <x v="2"/>
    <x v="3"/>
    <m/>
  </r>
  <r>
    <s v="预期保险成分-医疗健康"/>
    <s v="BEL"/>
    <x v="2"/>
    <x v="6"/>
    <x v="3"/>
    <x v="1"/>
    <m/>
    <m/>
    <x v="2"/>
    <x v="1"/>
    <x v="1"/>
    <x v="1"/>
    <x v="2"/>
    <x v="2"/>
    <x v="3"/>
    <m/>
  </r>
  <r>
    <s v="预期保险成分-豁免"/>
    <s v="BEL"/>
    <x v="2"/>
    <x v="7"/>
    <x v="3"/>
    <x v="1"/>
    <m/>
    <m/>
    <x v="2"/>
    <x v="1"/>
    <x v="1"/>
    <x v="1"/>
    <x v="2"/>
    <x v="2"/>
    <x v="3"/>
    <m/>
  </r>
  <r>
    <s v="预期保险成分-年金"/>
    <s v="BEL"/>
    <x v="2"/>
    <x v="8"/>
    <x v="3"/>
    <x v="1"/>
    <m/>
    <m/>
    <x v="2"/>
    <x v="1"/>
    <x v="1"/>
    <x v="1"/>
    <x v="2"/>
    <x v="2"/>
    <x v="3"/>
    <m/>
  </r>
  <r>
    <s v="预期保险成分-退保"/>
    <s v="BEL"/>
    <x v="2"/>
    <x v="9"/>
    <x v="3"/>
    <x v="1"/>
    <m/>
    <m/>
    <x v="2"/>
    <x v="1"/>
    <x v="1"/>
    <x v="1"/>
    <x v="2"/>
    <x v="2"/>
    <x v="3"/>
    <m/>
  </r>
  <r>
    <s v="预期保险成分-满期"/>
    <s v="BEL"/>
    <x v="2"/>
    <x v="10"/>
    <x v="3"/>
    <x v="1"/>
    <m/>
    <m/>
    <x v="2"/>
    <x v="1"/>
    <x v="1"/>
    <x v="1"/>
    <x v="2"/>
    <x v="2"/>
    <x v="3"/>
    <m/>
  </r>
  <r>
    <s v="预期维持费用-Conservation PRE"/>
    <s v="BEL"/>
    <x v="2"/>
    <x v="11"/>
    <x v="4"/>
    <x v="1"/>
    <m/>
    <m/>
    <x v="2"/>
    <x v="1"/>
    <x v="1"/>
    <x v="1"/>
    <x v="2"/>
    <x v="2"/>
    <x v="3"/>
    <m/>
  </r>
  <r>
    <s v="预期维持费用-佣金-直接"/>
    <s v="BEL"/>
    <x v="2"/>
    <x v="11"/>
    <x v="4"/>
    <x v="1"/>
    <m/>
    <m/>
    <x v="2"/>
    <x v="1"/>
    <x v="1"/>
    <x v="1"/>
    <x v="2"/>
    <x v="2"/>
    <x v="3"/>
    <m/>
  </r>
  <r>
    <s v="预期维持费用-佣金-其他"/>
    <s v="BEL"/>
    <x v="2"/>
    <x v="11"/>
    <x v="4"/>
    <x v="1"/>
    <m/>
    <m/>
    <x v="2"/>
    <x v="1"/>
    <x v="1"/>
    <x v="1"/>
    <x v="2"/>
    <x v="2"/>
    <x v="3"/>
    <m/>
  </r>
  <r>
    <s v="预期维持费用-普通间接佣金"/>
    <s v="BEL"/>
    <x v="2"/>
    <x v="11"/>
    <x v="4"/>
    <x v="1"/>
    <m/>
    <m/>
    <x v="2"/>
    <x v="1"/>
    <x v="1"/>
    <x v="1"/>
    <x v="2"/>
    <x v="2"/>
    <x v="3"/>
    <m/>
  </r>
  <r>
    <s v="预期维持费用-管理费用"/>
    <s v="BEL"/>
    <x v="2"/>
    <x v="11"/>
    <x v="4"/>
    <x v="1"/>
    <m/>
    <m/>
    <x v="2"/>
    <x v="1"/>
    <x v="1"/>
    <x v="1"/>
    <x v="2"/>
    <x v="2"/>
    <x v="3"/>
    <m/>
  </r>
  <r>
    <s v="预期维持费用-支持费用"/>
    <s v="BEL"/>
    <x v="2"/>
    <x v="11"/>
    <x v="4"/>
    <x v="1"/>
    <m/>
    <m/>
    <x v="2"/>
    <x v="1"/>
    <x v="1"/>
    <x v="1"/>
    <x v="2"/>
    <x v="2"/>
    <x v="3"/>
    <m/>
  </r>
  <r>
    <s v="预期维持费用-税金及附加"/>
    <s v="BEL"/>
    <x v="2"/>
    <x v="11"/>
    <x v="4"/>
    <x v="1"/>
    <m/>
    <m/>
    <x v="2"/>
    <x v="1"/>
    <x v="1"/>
    <x v="1"/>
    <x v="2"/>
    <x v="2"/>
    <x v="3"/>
    <m/>
  </r>
  <r>
    <s v="预期维持费用-资本金监管费"/>
    <s v="BEL"/>
    <x v="2"/>
    <x v="11"/>
    <x v="4"/>
    <x v="1"/>
    <m/>
    <m/>
    <x v="2"/>
    <x v="1"/>
    <x v="1"/>
    <x v="1"/>
    <x v="2"/>
    <x v="2"/>
    <x v="3"/>
    <m/>
  </r>
  <r>
    <s v="预期维持费用-其他费用"/>
    <s v="BEL"/>
    <x v="2"/>
    <x v="11"/>
    <x v="4"/>
    <x v="1"/>
    <m/>
    <m/>
    <x v="2"/>
    <x v="1"/>
    <x v="1"/>
    <x v="1"/>
    <x v="2"/>
    <x v="2"/>
    <x v="3"/>
    <m/>
  </r>
  <r>
    <s v="预期获取费用-PRE营业费"/>
    <s v="BEL"/>
    <x v="1"/>
    <x v="11"/>
    <x v="5"/>
    <x v="1"/>
    <m/>
    <m/>
    <x v="2"/>
    <x v="1"/>
    <x v="1"/>
    <x v="1"/>
    <x v="2"/>
    <x v="2"/>
    <x v="3"/>
    <m/>
  </r>
  <r>
    <s v="预期获取费用-PRE间佣"/>
    <s v="BEL"/>
    <x v="1"/>
    <x v="11"/>
    <x v="5"/>
    <x v="1"/>
    <m/>
    <m/>
    <x v="2"/>
    <x v="1"/>
    <x v="1"/>
    <x v="1"/>
    <x v="2"/>
    <x v="2"/>
    <x v="3"/>
    <m/>
  </r>
  <r>
    <s v="预期获取费用-业务监管费"/>
    <s v="BEL"/>
    <x v="1"/>
    <x v="11"/>
    <x v="5"/>
    <x v="1"/>
    <m/>
    <m/>
    <x v="2"/>
    <x v="1"/>
    <x v="1"/>
    <x v="1"/>
    <x v="2"/>
    <x v="2"/>
    <x v="3"/>
    <m/>
  </r>
  <r>
    <s v="预期获取费用-佣金-直接"/>
    <s v="BEL"/>
    <x v="1"/>
    <x v="11"/>
    <x v="5"/>
    <x v="1"/>
    <m/>
    <m/>
    <x v="2"/>
    <x v="1"/>
    <x v="1"/>
    <x v="1"/>
    <x v="2"/>
    <x v="2"/>
    <x v="3"/>
    <m/>
  </r>
  <r>
    <s v="预期获取费用-佣金-其他"/>
    <s v="BEL"/>
    <x v="1"/>
    <x v="11"/>
    <x v="5"/>
    <x v="1"/>
    <m/>
    <m/>
    <x v="2"/>
    <x v="1"/>
    <x v="1"/>
    <x v="1"/>
    <x v="2"/>
    <x v="2"/>
    <x v="3"/>
    <m/>
  </r>
  <r>
    <s v="预期获取费用-保险保障基金"/>
    <s v="BEL"/>
    <x v="1"/>
    <x v="11"/>
    <x v="5"/>
    <x v="1"/>
    <m/>
    <m/>
    <x v="2"/>
    <x v="1"/>
    <x v="1"/>
    <x v="1"/>
    <x v="2"/>
    <x v="2"/>
    <x v="3"/>
    <m/>
  </r>
  <r>
    <s v="预期获取费用-支持费用"/>
    <s v="BEL"/>
    <x v="1"/>
    <x v="11"/>
    <x v="5"/>
    <x v="1"/>
    <m/>
    <m/>
    <x v="2"/>
    <x v="1"/>
    <x v="1"/>
    <x v="1"/>
    <x v="2"/>
    <x v="2"/>
    <x v="3"/>
    <m/>
  </r>
  <r>
    <s v="预期获取费用-普通间接佣金"/>
    <s v="BEL"/>
    <x v="1"/>
    <x v="11"/>
    <x v="5"/>
    <x v="1"/>
    <m/>
    <m/>
    <x v="2"/>
    <x v="1"/>
    <x v="1"/>
    <x v="1"/>
    <x v="2"/>
    <x v="2"/>
    <x v="3"/>
    <m/>
  </r>
  <r>
    <s v="预期获取费用-渠道直接费用"/>
    <s v="BEL"/>
    <x v="1"/>
    <x v="11"/>
    <x v="5"/>
    <x v="1"/>
    <m/>
    <m/>
    <x v="2"/>
    <x v="1"/>
    <x v="1"/>
    <x v="1"/>
    <x v="2"/>
    <x v="2"/>
    <x v="3"/>
    <m/>
  </r>
  <r>
    <s v="预期获取费用-管理费用"/>
    <s v="BEL"/>
    <x v="1"/>
    <x v="11"/>
    <x v="5"/>
    <x v="1"/>
    <m/>
    <m/>
    <x v="2"/>
    <x v="1"/>
    <x v="1"/>
    <x v="1"/>
    <x v="2"/>
    <x v="2"/>
    <x v="3"/>
    <m/>
  </r>
  <r>
    <s v="预期获取费用-间佣-财补"/>
    <s v="BEL"/>
    <x v="1"/>
    <x v="11"/>
    <x v="5"/>
    <x v="1"/>
    <m/>
    <m/>
    <x v="2"/>
    <x v="1"/>
    <x v="1"/>
    <x v="1"/>
    <x v="2"/>
    <x v="2"/>
    <x v="3"/>
    <m/>
  </r>
  <r>
    <s v="预期保费"/>
    <s v="BEL"/>
    <x v="1"/>
    <x v="1"/>
    <x v="6"/>
    <x v="1"/>
    <m/>
    <m/>
    <x v="2"/>
    <x v="1"/>
    <x v="1"/>
    <x v="1"/>
    <x v="2"/>
    <x v="2"/>
    <x v="3"/>
    <m/>
  </r>
  <r>
    <s v="预期投资成分-死亡"/>
    <s v="BEL"/>
    <x v="1"/>
    <x v="3"/>
    <x v="7"/>
    <x v="1"/>
    <m/>
    <m/>
    <x v="2"/>
    <x v="1"/>
    <x v="1"/>
    <x v="1"/>
    <x v="2"/>
    <x v="2"/>
    <x v="3"/>
    <m/>
  </r>
  <r>
    <s v="预期投资成分-疾病"/>
    <s v="BEL"/>
    <x v="1"/>
    <x v="4"/>
    <x v="7"/>
    <x v="1"/>
    <m/>
    <m/>
    <x v="2"/>
    <x v="1"/>
    <x v="1"/>
    <x v="1"/>
    <x v="2"/>
    <x v="2"/>
    <x v="3"/>
    <m/>
  </r>
  <r>
    <s v="预期投资成分-意外"/>
    <s v="BEL"/>
    <x v="1"/>
    <x v="5"/>
    <x v="7"/>
    <x v="1"/>
    <m/>
    <m/>
    <x v="2"/>
    <x v="1"/>
    <x v="1"/>
    <x v="1"/>
    <x v="2"/>
    <x v="2"/>
    <x v="3"/>
    <m/>
  </r>
  <r>
    <s v="预期投资成分-医疗健康"/>
    <s v="BEL"/>
    <x v="1"/>
    <x v="6"/>
    <x v="7"/>
    <x v="1"/>
    <m/>
    <m/>
    <x v="2"/>
    <x v="1"/>
    <x v="1"/>
    <x v="1"/>
    <x v="2"/>
    <x v="2"/>
    <x v="3"/>
    <m/>
  </r>
  <r>
    <s v="预期投资成分-豁免"/>
    <s v="BEL"/>
    <x v="1"/>
    <x v="7"/>
    <x v="7"/>
    <x v="1"/>
    <m/>
    <m/>
    <x v="2"/>
    <x v="1"/>
    <x v="1"/>
    <x v="1"/>
    <x v="2"/>
    <x v="2"/>
    <x v="3"/>
    <m/>
  </r>
  <r>
    <s v="预期投资成分-年金"/>
    <s v="BEL"/>
    <x v="1"/>
    <x v="8"/>
    <x v="7"/>
    <x v="1"/>
    <m/>
    <m/>
    <x v="2"/>
    <x v="1"/>
    <x v="1"/>
    <x v="1"/>
    <x v="2"/>
    <x v="2"/>
    <x v="3"/>
    <m/>
  </r>
  <r>
    <s v="预期投资成分-退保"/>
    <s v="BEL"/>
    <x v="1"/>
    <x v="9"/>
    <x v="7"/>
    <x v="1"/>
    <m/>
    <m/>
    <x v="2"/>
    <x v="1"/>
    <x v="1"/>
    <x v="1"/>
    <x v="2"/>
    <x v="2"/>
    <x v="3"/>
    <m/>
  </r>
  <r>
    <s v="预期投资成分-满期"/>
    <s v="BEL"/>
    <x v="1"/>
    <x v="10"/>
    <x v="7"/>
    <x v="1"/>
    <m/>
    <m/>
    <x v="2"/>
    <x v="1"/>
    <x v="1"/>
    <x v="1"/>
    <x v="2"/>
    <x v="2"/>
    <x v="3"/>
    <m/>
  </r>
  <r>
    <s v="预期红利给付"/>
    <s v="BEL"/>
    <x v="3"/>
    <x v="12"/>
    <x v="8"/>
    <x v="1"/>
    <m/>
    <m/>
    <x v="2"/>
    <x v="1"/>
    <x v="1"/>
    <x v="1"/>
    <x v="2"/>
    <x v="2"/>
    <x v="3"/>
    <m/>
  </r>
  <r>
    <s v="现金流偏差调整-CUR校准"/>
    <s v="BEL"/>
    <x v="3"/>
    <x v="12"/>
    <x v="9"/>
    <x v="1"/>
    <m/>
    <m/>
    <x v="2"/>
    <x v="1"/>
    <x v="1"/>
    <x v="1"/>
    <x v="2"/>
    <x v="2"/>
    <x v="3"/>
    <m/>
  </r>
  <r>
    <s v="经济经验偏差调整-BEL"/>
    <s v="BEL"/>
    <x v="3"/>
    <x v="12"/>
    <x v="10"/>
    <x v="1"/>
    <m/>
    <m/>
    <x v="2"/>
    <x v="1"/>
    <x v="1"/>
    <x v="1"/>
    <x v="2"/>
    <x v="2"/>
    <x v="3"/>
    <m/>
  </r>
  <r>
    <s v="死亡经验调整"/>
    <s v="BEL"/>
    <x v="1"/>
    <x v="3"/>
    <x v="11"/>
    <x v="1"/>
    <m/>
    <m/>
    <x v="2"/>
    <x v="1"/>
    <x v="1"/>
    <x v="1"/>
    <x v="2"/>
    <x v="2"/>
    <x v="3"/>
    <m/>
  </r>
  <r>
    <s v="疾病经验调整"/>
    <s v="BEL"/>
    <x v="1"/>
    <x v="4"/>
    <x v="12"/>
    <x v="1"/>
    <m/>
    <m/>
    <x v="2"/>
    <x v="1"/>
    <x v="1"/>
    <x v="1"/>
    <x v="2"/>
    <x v="2"/>
    <x v="3"/>
    <m/>
  </r>
  <r>
    <s v="退保经验调整"/>
    <s v="BEL"/>
    <x v="1"/>
    <x v="9"/>
    <x v="13"/>
    <x v="1"/>
    <m/>
    <m/>
    <x v="2"/>
    <x v="1"/>
    <x v="1"/>
    <x v="1"/>
    <x v="2"/>
    <x v="2"/>
    <x v="3"/>
    <m/>
  </r>
  <r>
    <s v="其他经验调整"/>
    <s v="BEL"/>
    <x v="1"/>
    <x v="1"/>
    <x v="14"/>
    <x v="1"/>
    <m/>
    <m/>
    <x v="2"/>
    <x v="1"/>
    <x v="1"/>
    <x v="1"/>
    <x v="2"/>
    <x v="2"/>
    <x v="3"/>
    <m/>
  </r>
  <r>
    <s v="死亡率调整"/>
    <s v="BEL"/>
    <x v="1"/>
    <x v="13"/>
    <x v="15"/>
    <x v="1"/>
    <m/>
    <m/>
    <x v="2"/>
    <x v="1"/>
    <x v="1"/>
    <x v="1"/>
    <x v="2"/>
    <x v="2"/>
    <x v="3"/>
    <m/>
  </r>
  <r>
    <s v="疾病率调整"/>
    <s v="BEL"/>
    <x v="1"/>
    <x v="14"/>
    <x v="16"/>
    <x v="1"/>
    <m/>
    <m/>
    <x v="2"/>
    <x v="1"/>
    <x v="1"/>
    <x v="1"/>
    <x v="2"/>
    <x v="2"/>
    <x v="3"/>
    <m/>
  </r>
  <r>
    <s v="退保率调整"/>
    <s v="BEL"/>
    <x v="1"/>
    <x v="15"/>
    <x v="17"/>
    <x v="1"/>
    <m/>
    <m/>
    <x v="2"/>
    <x v="1"/>
    <x v="1"/>
    <x v="1"/>
    <x v="2"/>
    <x v="2"/>
    <x v="3"/>
    <m/>
  </r>
  <r>
    <s v="费用调整"/>
    <s v="BEL"/>
    <x v="1"/>
    <x v="16"/>
    <x v="18"/>
    <x v="1"/>
    <m/>
    <m/>
    <x v="2"/>
    <x v="1"/>
    <x v="1"/>
    <x v="1"/>
    <x v="2"/>
    <x v="2"/>
    <x v="3"/>
    <m/>
  </r>
  <r>
    <s v="RA释放"/>
    <s v="RA"/>
    <x v="2"/>
    <x v="17"/>
    <x v="19"/>
    <x v="1"/>
    <m/>
    <m/>
    <x v="2"/>
    <x v="1"/>
    <x v="1"/>
    <x v="1"/>
    <x v="2"/>
    <x v="2"/>
    <x v="3"/>
    <m/>
  </r>
  <r>
    <s v="RA变动"/>
    <s v="RA"/>
    <x v="1"/>
    <x v="1"/>
    <x v="20"/>
    <x v="1"/>
    <m/>
    <m/>
    <x v="2"/>
    <x v="1"/>
    <x v="1"/>
    <x v="1"/>
    <x v="2"/>
    <x v="2"/>
    <x v="3"/>
    <m/>
  </r>
  <r>
    <s v="TVOG释放"/>
    <s v="BEL"/>
    <x v="2"/>
    <x v="2"/>
    <x v="21"/>
    <x v="1"/>
    <m/>
    <m/>
    <x v="2"/>
    <x v="1"/>
    <x v="1"/>
    <x v="1"/>
    <x v="2"/>
    <x v="2"/>
    <x v="3"/>
    <m/>
  </r>
  <r>
    <s v="当期TVOG释放的偏差-CURR校准"/>
    <s v="BEL"/>
    <x v="3"/>
    <x v="12"/>
    <x v="22"/>
    <x v="1"/>
    <m/>
    <m/>
    <x v="2"/>
    <x v="1"/>
    <x v="1"/>
    <x v="1"/>
    <x v="2"/>
    <x v="2"/>
    <x v="3"/>
    <m/>
  </r>
  <r>
    <s v="未决准备金提转差-CY-保险成分（进展因子调整前）"/>
    <s v="BEL"/>
    <x v="2"/>
    <x v="18"/>
    <x v="23"/>
    <x v="1"/>
    <m/>
    <m/>
    <x v="2"/>
    <x v="1"/>
    <x v="1"/>
    <x v="1"/>
    <x v="2"/>
    <x v="2"/>
    <x v="3"/>
    <m/>
  </r>
  <r>
    <s v="未决准备金提转差-CY-投资成分（进展因子调整前）"/>
    <s v="BEL"/>
    <x v="1"/>
    <x v="18"/>
    <x v="23"/>
    <x v="1"/>
    <m/>
    <m/>
    <x v="2"/>
    <x v="1"/>
    <x v="1"/>
    <x v="1"/>
    <x v="2"/>
    <x v="2"/>
    <x v="3"/>
    <m/>
  </r>
  <r>
    <s v="未决准备金提转差-PY-保险成分（进展因子调整前）"/>
    <s v="BEL"/>
    <x v="2"/>
    <x v="18"/>
    <x v="24"/>
    <x v="1"/>
    <m/>
    <m/>
    <x v="2"/>
    <x v="1"/>
    <x v="1"/>
    <x v="1"/>
    <x v="2"/>
    <x v="2"/>
    <x v="3"/>
    <m/>
  </r>
  <r>
    <s v="未决准备金提转差-PY-投资成分（进展因子调整前）"/>
    <s v="BEL"/>
    <x v="2"/>
    <x v="18"/>
    <x v="24"/>
    <x v="1"/>
    <m/>
    <m/>
    <x v="2"/>
    <x v="1"/>
    <x v="1"/>
    <x v="1"/>
    <x v="2"/>
    <x v="2"/>
    <x v="3"/>
    <m/>
  </r>
  <r>
    <s v="未决准备金提转差-CY-保险成分（进展因子调整）"/>
    <s v="BEL"/>
    <x v="2"/>
    <x v="19"/>
    <x v="23"/>
    <x v="1"/>
    <m/>
    <m/>
    <x v="2"/>
    <x v="1"/>
    <x v="1"/>
    <x v="1"/>
    <x v="2"/>
    <x v="2"/>
    <x v="3"/>
    <m/>
  </r>
  <r>
    <s v="未决准备金提转差-CY-投资成分（进展因子调整）"/>
    <s v="BEL"/>
    <x v="1"/>
    <x v="19"/>
    <x v="25"/>
    <x v="1"/>
    <m/>
    <m/>
    <x v="2"/>
    <x v="1"/>
    <x v="1"/>
    <x v="1"/>
    <x v="2"/>
    <x v="2"/>
    <x v="3"/>
    <m/>
  </r>
  <r>
    <s v="未决准备金提转差-PY-保险成分（进展因子调整）"/>
    <s v="BEL"/>
    <x v="2"/>
    <x v="19"/>
    <x v="24"/>
    <x v="1"/>
    <m/>
    <m/>
    <x v="2"/>
    <x v="1"/>
    <x v="1"/>
    <x v="1"/>
    <x v="2"/>
    <x v="2"/>
    <x v="3"/>
    <m/>
  </r>
  <r>
    <s v="未决准备金提转差-PY-投资成分（进展因子调整）"/>
    <s v="BEL"/>
    <x v="2"/>
    <x v="19"/>
    <x v="24"/>
    <x v="1"/>
    <m/>
    <m/>
    <x v="2"/>
    <x v="1"/>
    <x v="1"/>
    <x v="1"/>
    <x v="2"/>
    <x v="2"/>
    <x v="3"/>
    <m/>
  </r>
  <r>
    <s v="实际保险成分-死亡"/>
    <s v="CF"/>
    <x v="2"/>
    <x v="3"/>
    <x v="23"/>
    <x v="1"/>
    <m/>
    <m/>
    <x v="2"/>
    <x v="1"/>
    <x v="1"/>
    <x v="1"/>
    <x v="2"/>
    <x v="2"/>
    <x v="3"/>
    <m/>
  </r>
  <r>
    <s v="实际保险成分-疾病"/>
    <s v="CF"/>
    <x v="2"/>
    <x v="4"/>
    <x v="23"/>
    <x v="1"/>
    <m/>
    <m/>
    <x v="2"/>
    <x v="1"/>
    <x v="1"/>
    <x v="1"/>
    <x v="2"/>
    <x v="2"/>
    <x v="3"/>
    <m/>
  </r>
  <r>
    <s v="实际保险成分-意外"/>
    <s v="CF"/>
    <x v="2"/>
    <x v="5"/>
    <x v="23"/>
    <x v="1"/>
    <m/>
    <m/>
    <x v="2"/>
    <x v="1"/>
    <x v="1"/>
    <x v="1"/>
    <x v="2"/>
    <x v="2"/>
    <x v="3"/>
    <m/>
  </r>
  <r>
    <s v="实际保险成分-医疗健康"/>
    <s v="CF"/>
    <x v="2"/>
    <x v="6"/>
    <x v="23"/>
    <x v="1"/>
    <m/>
    <m/>
    <x v="2"/>
    <x v="1"/>
    <x v="1"/>
    <x v="1"/>
    <x v="2"/>
    <x v="2"/>
    <x v="3"/>
    <m/>
  </r>
  <r>
    <s v="实际保险成分-豁免"/>
    <s v="CF"/>
    <x v="2"/>
    <x v="7"/>
    <x v="23"/>
    <x v="1"/>
    <m/>
    <m/>
    <x v="2"/>
    <x v="1"/>
    <x v="1"/>
    <x v="1"/>
    <x v="2"/>
    <x v="2"/>
    <x v="3"/>
    <m/>
  </r>
  <r>
    <s v="实际保险成分-年金"/>
    <s v="CF"/>
    <x v="2"/>
    <x v="8"/>
    <x v="23"/>
    <x v="1"/>
    <m/>
    <m/>
    <x v="2"/>
    <x v="1"/>
    <x v="1"/>
    <x v="1"/>
    <x v="2"/>
    <x v="2"/>
    <x v="3"/>
    <m/>
  </r>
  <r>
    <s v="实际保险成分-退保"/>
    <s v="CF"/>
    <x v="2"/>
    <x v="9"/>
    <x v="23"/>
    <x v="1"/>
    <m/>
    <m/>
    <x v="2"/>
    <x v="1"/>
    <x v="1"/>
    <x v="1"/>
    <x v="2"/>
    <x v="2"/>
    <x v="3"/>
    <m/>
  </r>
  <r>
    <s v="实际保险成分-满期"/>
    <s v="CF"/>
    <x v="2"/>
    <x v="10"/>
    <x v="23"/>
    <x v="1"/>
    <m/>
    <m/>
    <x v="2"/>
    <x v="1"/>
    <x v="1"/>
    <x v="1"/>
    <x v="2"/>
    <x v="2"/>
    <x v="3"/>
    <m/>
  </r>
  <r>
    <s v="实际维持费用-Conservation PRE"/>
    <s v="CF"/>
    <x v="2"/>
    <x v="11"/>
    <x v="26"/>
    <x v="1"/>
    <m/>
    <m/>
    <x v="2"/>
    <x v="1"/>
    <x v="1"/>
    <x v="1"/>
    <x v="2"/>
    <x v="2"/>
    <x v="3"/>
    <m/>
  </r>
  <r>
    <s v="实际维持费用-佣金-直接"/>
    <s v="CF"/>
    <x v="2"/>
    <x v="11"/>
    <x v="26"/>
    <x v="1"/>
    <m/>
    <m/>
    <x v="2"/>
    <x v="1"/>
    <x v="1"/>
    <x v="1"/>
    <x v="2"/>
    <x v="2"/>
    <x v="3"/>
    <m/>
  </r>
  <r>
    <s v="实际维持费用-佣金-其他"/>
    <s v="CF"/>
    <x v="2"/>
    <x v="11"/>
    <x v="26"/>
    <x v="1"/>
    <m/>
    <m/>
    <x v="2"/>
    <x v="1"/>
    <x v="1"/>
    <x v="1"/>
    <x v="2"/>
    <x v="2"/>
    <x v="3"/>
    <m/>
  </r>
  <r>
    <s v="实际维持费用-普通间接佣金"/>
    <s v="CF"/>
    <x v="2"/>
    <x v="11"/>
    <x v="26"/>
    <x v="1"/>
    <m/>
    <m/>
    <x v="2"/>
    <x v="1"/>
    <x v="1"/>
    <x v="1"/>
    <x v="2"/>
    <x v="2"/>
    <x v="3"/>
    <m/>
  </r>
  <r>
    <s v="实际维持费用-管理费用"/>
    <s v="CF"/>
    <x v="2"/>
    <x v="11"/>
    <x v="26"/>
    <x v="1"/>
    <m/>
    <m/>
    <x v="2"/>
    <x v="1"/>
    <x v="1"/>
    <x v="1"/>
    <x v="2"/>
    <x v="2"/>
    <x v="3"/>
    <m/>
  </r>
  <r>
    <s v="实际维持费用-支持费用"/>
    <s v="CF"/>
    <x v="2"/>
    <x v="11"/>
    <x v="26"/>
    <x v="1"/>
    <m/>
    <m/>
    <x v="2"/>
    <x v="1"/>
    <x v="1"/>
    <x v="1"/>
    <x v="2"/>
    <x v="2"/>
    <x v="3"/>
    <m/>
  </r>
  <r>
    <s v="实际维持费用-税金及附加"/>
    <s v="CF"/>
    <x v="2"/>
    <x v="11"/>
    <x v="26"/>
    <x v="1"/>
    <m/>
    <m/>
    <x v="2"/>
    <x v="1"/>
    <x v="1"/>
    <x v="1"/>
    <x v="2"/>
    <x v="2"/>
    <x v="3"/>
    <m/>
  </r>
  <r>
    <s v="实际维持费用-资本金监管费"/>
    <s v="CF"/>
    <x v="2"/>
    <x v="11"/>
    <x v="26"/>
    <x v="1"/>
    <m/>
    <m/>
    <x v="2"/>
    <x v="1"/>
    <x v="1"/>
    <x v="1"/>
    <x v="2"/>
    <x v="2"/>
    <x v="3"/>
    <m/>
  </r>
  <r>
    <s v="实际维持费用-其他费用"/>
    <s v="CF"/>
    <x v="2"/>
    <x v="11"/>
    <x v="26"/>
    <x v="1"/>
    <m/>
    <m/>
    <x v="2"/>
    <x v="1"/>
    <x v="1"/>
    <x v="1"/>
    <x v="2"/>
    <x v="2"/>
    <x v="3"/>
    <m/>
  </r>
  <r>
    <s v="实际获取费用-PRE营业费"/>
    <s v="CF"/>
    <x v="1"/>
    <x v="11"/>
    <x v="5"/>
    <x v="1"/>
    <m/>
    <m/>
    <x v="2"/>
    <x v="1"/>
    <x v="1"/>
    <x v="1"/>
    <x v="2"/>
    <x v="2"/>
    <x v="3"/>
    <m/>
  </r>
  <r>
    <s v="实际获取费用-PRE间佣"/>
    <s v="CF"/>
    <x v="1"/>
    <x v="11"/>
    <x v="5"/>
    <x v="1"/>
    <m/>
    <m/>
    <x v="2"/>
    <x v="1"/>
    <x v="1"/>
    <x v="1"/>
    <x v="2"/>
    <x v="2"/>
    <x v="3"/>
    <m/>
  </r>
  <r>
    <s v="实际获取费用-业务监管费"/>
    <s v="CF"/>
    <x v="1"/>
    <x v="11"/>
    <x v="5"/>
    <x v="1"/>
    <m/>
    <m/>
    <x v="2"/>
    <x v="1"/>
    <x v="1"/>
    <x v="1"/>
    <x v="2"/>
    <x v="2"/>
    <x v="3"/>
    <m/>
  </r>
  <r>
    <s v="实际获取费用-佣金-直接"/>
    <s v="CF"/>
    <x v="1"/>
    <x v="11"/>
    <x v="5"/>
    <x v="1"/>
    <m/>
    <m/>
    <x v="2"/>
    <x v="1"/>
    <x v="1"/>
    <x v="1"/>
    <x v="2"/>
    <x v="2"/>
    <x v="3"/>
    <m/>
  </r>
  <r>
    <s v="实际获取费用-佣金-其他"/>
    <s v="CF"/>
    <x v="1"/>
    <x v="11"/>
    <x v="5"/>
    <x v="1"/>
    <m/>
    <m/>
    <x v="2"/>
    <x v="1"/>
    <x v="1"/>
    <x v="1"/>
    <x v="2"/>
    <x v="2"/>
    <x v="3"/>
    <m/>
  </r>
  <r>
    <s v="实际获取费用-保险保障基金"/>
    <s v="CF"/>
    <x v="1"/>
    <x v="11"/>
    <x v="5"/>
    <x v="1"/>
    <m/>
    <m/>
    <x v="2"/>
    <x v="1"/>
    <x v="1"/>
    <x v="1"/>
    <x v="2"/>
    <x v="2"/>
    <x v="3"/>
    <m/>
  </r>
  <r>
    <s v="实际获取费用-支持费用"/>
    <s v="CF"/>
    <x v="1"/>
    <x v="11"/>
    <x v="5"/>
    <x v="1"/>
    <m/>
    <m/>
    <x v="2"/>
    <x v="1"/>
    <x v="1"/>
    <x v="1"/>
    <x v="2"/>
    <x v="2"/>
    <x v="3"/>
    <m/>
  </r>
  <r>
    <s v="实际获取费用-普通间接佣金"/>
    <s v="CF"/>
    <x v="1"/>
    <x v="11"/>
    <x v="5"/>
    <x v="1"/>
    <m/>
    <m/>
    <x v="2"/>
    <x v="1"/>
    <x v="1"/>
    <x v="1"/>
    <x v="2"/>
    <x v="2"/>
    <x v="3"/>
    <m/>
  </r>
  <r>
    <s v="实际获取费用-渠道直接费用"/>
    <s v="CF"/>
    <x v="1"/>
    <x v="11"/>
    <x v="5"/>
    <x v="1"/>
    <m/>
    <m/>
    <x v="2"/>
    <x v="1"/>
    <x v="1"/>
    <x v="1"/>
    <x v="2"/>
    <x v="2"/>
    <x v="3"/>
    <m/>
  </r>
  <r>
    <s v="实际获取费用-管理费用"/>
    <s v="CF"/>
    <x v="1"/>
    <x v="11"/>
    <x v="5"/>
    <x v="1"/>
    <m/>
    <m/>
    <x v="2"/>
    <x v="1"/>
    <x v="1"/>
    <x v="1"/>
    <x v="2"/>
    <x v="2"/>
    <x v="3"/>
    <m/>
  </r>
  <r>
    <s v="实际获取费用-间佣-财补"/>
    <s v="CF"/>
    <x v="1"/>
    <x v="11"/>
    <x v="5"/>
    <x v="1"/>
    <m/>
    <m/>
    <x v="2"/>
    <x v="1"/>
    <x v="1"/>
    <x v="1"/>
    <x v="2"/>
    <x v="2"/>
    <x v="3"/>
    <m/>
  </r>
  <r>
    <s v="实际保费"/>
    <s v="CF"/>
    <x v="1"/>
    <x v="1"/>
    <x v="6"/>
    <x v="1"/>
    <m/>
    <m/>
    <x v="2"/>
    <x v="1"/>
    <x v="1"/>
    <x v="1"/>
    <x v="2"/>
    <x v="2"/>
    <x v="3"/>
    <m/>
  </r>
  <r>
    <s v="实际投资成分-死亡"/>
    <s v="CF"/>
    <x v="1"/>
    <x v="3"/>
    <x v="7"/>
    <x v="1"/>
    <m/>
    <m/>
    <x v="2"/>
    <x v="1"/>
    <x v="1"/>
    <x v="1"/>
    <x v="2"/>
    <x v="2"/>
    <x v="3"/>
    <m/>
  </r>
  <r>
    <s v="实际投资成分-疾病"/>
    <s v="CF"/>
    <x v="1"/>
    <x v="4"/>
    <x v="7"/>
    <x v="1"/>
    <m/>
    <m/>
    <x v="2"/>
    <x v="1"/>
    <x v="1"/>
    <x v="1"/>
    <x v="2"/>
    <x v="2"/>
    <x v="3"/>
    <m/>
  </r>
  <r>
    <s v="实际投资成分-意外"/>
    <s v="CF"/>
    <x v="1"/>
    <x v="5"/>
    <x v="7"/>
    <x v="1"/>
    <m/>
    <m/>
    <x v="2"/>
    <x v="1"/>
    <x v="1"/>
    <x v="1"/>
    <x v="2"/>
    <x v="2"/>
    <x v="3"/>
    <m/>
  </r>
  <r>
    <s v="实际投资成分-医疗健康"/>
    <s v="CF"/>
    <x v="1"/>
    <x v="6"/>
    <x v="7"/>
    <x v="1"/>
    <m/>
    <m/>
    <x v="2"/>
    <x v="1"/>
    <x v="1"/>
    <x v="1"/>
    <x v="2"/>
    <x v="2"/>
    <x v="3"/>
    <m/>
  </r>
  <r>
    <s v="实际投资成分-豁免"/>
    <s v="CF"/>
    <x v="1"/>
    <x v="7"/>
    <x v="7"/>
    <x v="1"/>
    <m/>
    <m/>
    <x v="2"/>
    <x v="1"/>
    <x v="1"/>
    <x v="1"/>
    <x v="2"/>
    <x v="2"/>
    <x v="3"/>
    <m/>
  </r>
  <r>
    <s v="实际投资成分-年金"/>
    <s v="CF"/>
    <x v="1"/>
    <x v="8"/>
    <x v="7"/>
    <x v="1"/>
    <m/>
    <m/>
    <x v="2"/>
    <x v="1"/>
    <x v="1"/>
    <x v="1"/>
    <x v="2"/>
    <x v="2"/>
    <x v="3"/>
    <m/>
  </r>
  <r>
    <s v="实际投资成分-退保"/>
    <s v="CF"/>
    <x v="1"/>
    <x v="9"/>
    <x v="7"/>
    <x v="1"/>
    <m/>
    <m/>
    <x v="2"/>
    <x v="1"/>
    <x v="1"/>
    <x v="1"/>
    <x v="2"/>
    <x v="2"/>
    <x v="3"/>
    <m/>
  </r>
  <r>
    <s v="实际投资成分-满期"/>
    <s v="CF"/>
    <x v="1"/>
    <x v="10"/>
    <x v="7"/>
    <x v="1"/>
    <m/>
    <m/>
    <x v="2"/>
    <x v="1"/>
    <x v="1"/>
    <x v="1"/>
    <x v="2"/>
    <x v="2"/>
    <x v="3"/>
    <m/>
  </r>
  <r>
    <s v="实际红利给付"/>
    <s v="CF"/>
    <x v="3"/>
    <x v="12"/>
    <x v="8"/>
    <x v="1"/>
    <m/>
    <m/>
    <x v="2"/>
    <x v="1"/>
    <x v="1"/>
    <x v="1"/>
    <x v="2"/>
    <x v="2"/>
    <x v="3"/>
    <m/>
  </r>
  <r>
    <s v="特储提转差"/>
    <s v="BEL"/>
    <x v="3"/>
    <x v="12"/>
    <x v="27"/>
    <x v="1"/>
    <m/>
    <m/>
    <x v="2"/>
    <x v="1"/>
    <x v="1"/>
    <x v="1"/>
    <x v="2"/>
    <x v="2"/>
    <x v="3"/>
    <m/>
  </r>
  <r>
    <s v="实际PY-死亡"/>
    <s v="CF"/>
    <x v="2"/>
    <x v="3"/>
    <x v="24"/>
    <x v="1"/>
    <m/>
    <m/>
    <x v="2"/>
    <x v="1"/>
    <x v="1"/>
    <x v="1"/>
    <x v="2"/>
    <x v="2"/>
    <x v="3"/>
    <m/>
  </r>
  <r>
    <s v="实际PY-疾病"/>
    <s v="CF"/>
    <x v="2"/>
    <x v="4"/>
    <x v="24"/>
    <x v="1"/>
    <m/>
    <m/>
    <x v="2"/>
    <x v="1"/>
    <x v="1"/>
    <x v="1"/>
    <x v="2"/>
    <x v="2"/>
    <x v="3"/>
    <m/>
  </r>
  <r>
    <s v="实际PY-意外"/>
    <s v="CF"/>
    <x v="2"/>
    <x v="5"/>
    <x v="24"/>
    <x v="1"/>
    <m/>
    <m/>
    <x v="2"/>
    <x v="1"/>
    <x v="1"/>
    <x v="1"/>
    <x v="2"/>
    <x v="2"/>
    <x v="3"/>
    <m/>
  </r>
  <r>
    <s v="实际PY-医疗健康"/>
    <s v="CF"/>
    <x v="2"/>
    <x v="6"/>
    <x v="24"/>
    <x v="1"/>
    <m/>
    <m/>
    <x v="2"/>
    <x v="1"/>
    <x v="1"/>
    <x v="1"/>
    <x v="2"/>
    <x v="2"/>
    <x v="3"/>
    <m/>
  </r>
  <r>
    <s v="实际PY-豁免"/>
    <s v="CF"/>
    <x v="2"/>
    <x v="7"/>
    <x v="24"/>
    <x v="1"/>
    <m/>
    <m/>
    <x v="2"/>
    <x v="1"/>
    <x v="1"/>
    <x v="1"/>
    <x v="2"/>
    <x v="2"/>
    <x v="3"/>
    <m/>
  </r>
  <r>
    <s v="实际PY-年金"/>
    <s v="CF"/>
    <x v="2"/>
    <x v="8"/>
    <x v="24"/>
    <x v="1"/>
    <m/>
    <m/>
    <x v="2"/>
    <x v="1"/>
    <x v="1"/>
    <x v="1"/>
    <x v="2"/>
    <x v="2"/>
    <x v="3"/>
    <m/>
  </r>
  <r>
    <s v="实际PY-退保"/>
    <s v="CF"/>
    <x v="2"/>
    <x v="9"/>
    <x v="24"/>
    <x v="1"/>
    <m/>
    <m/>
    <x v="2"/>
    <x v="1"/>
    <x v="1"/>
    <x v="1"/>
    <x v="2"/>
    <x v="2"/>
    <x v="3"/>
    <m/>
  </r>
  <r>
    <s v="实际PY-满期"/>
    <s v="CF"/>
    <x v="2"/>
    <x v="10"/>
    <x v="24"/>
    <x v="1"/>
    <m/>
    <m/>
    <x v="2"/>
    <x v="1"/>
    <x v="1"/>
    <x v="1"/>
    <x v="2"/>
    <x v="2"/>
    <x v="3"/>
    <m/>
  </r>
  <r>
    <s v="VFA-UI FVTPL"/>
    <s v="CF"/>
    <x v="2"/>
    <x v="2"/>
    <x v="28"/>
    <x v="1"/>
    <m/>
    <m/>
    <x v="2"/>
    <x v="1"/>
    <x v="1"/>
    <x v="1"/>
    <x v="2"/>
    <x v="2"/>
    <x v="3"/>
    <m/>
  </r>
  <r>
    <s v="VFA-UI FVOCI"/>
    <s v="CF"/>
    <x v="3"/>
    <x v="12"/>
    <x v="28"/>
    <x v="1"/>
    <m/>
    <m/>
    <x v="2"/>
    <x v="1"/>
    <x v="1"/>
    <x v="1"/>
    <x v="2"/>
    <x v="2"/>
    <x v="3"/>
    <m/>
  </r>
  <r>
    <s v="利息收入"/>
    <s v="CF"/>
    <x v="2"/>
    <x v="2"/>
    <x v="29"/>
    <x v="1"/>
    <m/>
    <m/>
    <x v="2"/>
    <x v="1"/>
    <x v="1"/>
    <x v="1"/>
    <x v="2"/>
    <x v="2"/>
    <x v="3"/>
    <m/>
  </r>
  <r>
    <s v="投资收益"/>
    <s v="CF"/>
    <x v="2"/>
    <x v="2"/>
    <x v="30"/>
    <x v="1"/>
    <m/>
    <m/>
    <x v="2"/>
    <x v="1"/>
    <x v="1"/>
    <x v="1"/>
    <x v="2"/>
    <x v="2"/>
    <x v="3"/>
    <m/>
  </r>
  <r>
    <s v="公允价值变动收益"/>
    <s v="CF"/>
    <x v="2"/>
    <x v="2"/>
    <x v="31"/>
    <x v="1"/>
    <m/>
    <m/>
    <x v="2"/>
    <x v="1"/>
    <x v="1"/>
    <x v="1"/>
    <x v="2"/>
    <x v="2"/>
    <x v="3"/>
    <m/>
  </r>
  <r>
    <s v="资产处置收益"/>
    <s v="CF"/>
    <x v="2"/>
    <x v="2"/>
    <x v="30"/>
    <x v="1"/>
    <m/>
    <m/>
    <x v="2"/>
    <x v="1"/>
    <x v="1"/>
    <x v="1"/>
    <x v="2"/>
    <x v="2"/>
    <x v="3"/>
    <m/>
  </r>
  <r>
    <s v="其他权益工具投资公允价值变动"/>
    <s v="CF"/>
    <x v="2"/>
    <x v="12"/>
    <x v="32"/>
    <x v="1"/>
    <m/>
    <m/>
    <x v="2"/>
    <x v="1"/>
    <x v="1"/>
    <x v="1"/>
    <x v="2"/>
    <x v="2"/>
    <x v="3"/>
    <m/>
  </r>
  <r>
    <s v="其他债权投资公允价值变动"/>
    <s v="CF"/>
    <x v="2"/>
    <x v="12"/>
    <x v="32"/>
    <x v="1"/>
    <m/>
    <m/>
    <x v="2"/>
    <x v="1"/>
    <x v="1"/>
    <x v="1"/>
    <x v="2"/>
    <x v="2"/>
    <x v="3"/>
    <m/>
  </r>
  <r>
    <s v="其他债权投资信用损失准备"/>
    <s v="CF"/>
    <x v="2"/>
    <x v="12"/>
    <x v="32"/>
    <x v="1"/>
    <m/>
    <m/>
    <x v="2"/>
    <x v="1"/>
    <x v="1"/>
    <x v="1"/>
    <x v="2"/>
    <x v="2"/>
    <x v="3"/>
    <m/>
  </r>
  <r>
    <s v="新单初始确认-BEL"/>
    <s v="BEL"/>
    <x v="1"/>
    <x v="20"/>
    <x v="33"/>
    <x v="1"/>
    <m/>
    <m/>
    <x v="2"/>
    <x v="1"/>
    <x v="1"/>
    <x v="1"/>
    <x v="2"/>
    <x v="2"/>
    <x v="3"/>
    <m/>
  </r>
  <r>
    <s v="新单初始确认-RA"/>
    <s v="RA"/>
    <x v="1"/>
    <x v="20"/>
    <x v="33"/>
    <x v="1"/>
    <m/>
    <m/>
    <x v="2"/>
    <x v="1"/>
    <x v="1"/>
    <x v="1"/>
    <x v="2"/>
    <x v="2"/>
    <x v="3"/>
    <m/>
  </r>
  <r>
    <s v="新单初始确认-CSM"/>
    <s v="CSM"/>
    <x v="1"/>
    <x v="21"/>
    <x v="33"/>
    <x v="1"/>
    <m/>
    <m/>
    <x v="2"/>
    <x v="1"/>
    <x v="1"/>
    <x v="1"/>
    <x v="2"/>
    <x v="2"/>
    <x v="3"/>
    <m/>
  </r>
  <r>
    <s v="新单初始确认-LC"/>
    <s v="Param"/>
    <x v="2"/>
    <x v="22"/>
    <x v="34"/>
    <x v="1"/>
    <m/>
    <m/>
    <x v="2"/>
    <x v="1"/>
    <x v="1"/>
    <x v="1"/>
    <x v="2"/>
    <x v="2"/>
    <x v="3"/>
    <m/>
  </r>
  <r>
    <s v="新单初始确认-LC（考虑IACF_True-up）"/>
    <s v="Param"/>
    <x v="2"/>
    <x v="20"/>
    <x v="35"/>
    <x v="1"/>
    <m/>
    <m/>
    <x v="2"/>
    <x v="1"/>
    <x v="1"/>
    <x v="1"/>
    <x v="2"/>
    <x v="2"/>
    <x v="3"/>
    <m/>
  </r>
  <r>
    <s v="CSM计息"/>
    <s v="CSM"/>
    <x v="2"/>
    <x v="2"/>
    <x v="36"/>
    <x v="1"/>
    <m/>
    <m/>
    <x v="2"/>
    <x v="1"/>
    <x v="1"/>
    <x v="1"/>
    <x v="2"/>
    <x v="2"/>
    <x v="3"/>
    <m/>
  </r>
  <r>
    <s v="CSM释放"/>
    <s v="CSM"/>
    <x v="2"/>
    <x v="23"/>
    <x v="37"/>
    <x v="1"/>
    <m/>
    <m/>
    <x v="2"/>
    <x v="1"/>
    <x v="1"/>
    <x v="1"/>
    <x v="2"/>
    <x v="2"/>
    <x v="3"/>
    <m/>
  </r>
  <r>
    <s v="CSMLC_RATIO"/>
    <s v="Param"/>
    <x v="4"/>
    <x v="20"/>
    <x v="33"/>
    <x v="1"/>
    <m/>
    <m/>
    <x v="2"/>
    <x v="1"/>
    <x v="1"/>
    <x v="1"/>
    <x v="2"/>
    <x v="2"/>
    <x v="3"/>
    <m/>
  </r>
  <r>
    <s v="获取费用分摊"/>
    <s v="Param"/>
    <x v="2"/>
    <x v="20"/>
    <x v="38"/>
    <x v="1"/>
    <m/>
    <m/>
    <x v="2"/>
    <x v="1"/>
    <x v="1"/>
    <x v="1"/>
    <x v="2"/>
    <x v="2"/>
    <x v="3"/>
    <m/>
  </r>
  <r>
    <s v="亏损部分的分摊"/>
    <s v="Param"/>
    <x v="2"/>
    <x v="20"/>
    <x v="39"/>
    <x v="1"/>
    <m/>
    <m/>
    <x v="2"/>
    <x v="1"/>
    <x v="1"/>
    <x v="1"/>
    <x v="2"/>
    <x v="2"/>
    <x v="3"/>
    <m/>
  </r>
  <r>
    <s v="亏损部分的加剧或转回-DTH"/>
    <s v="Param"/>
    <x v="2"/>
    <x v="3"/>
    <x v="40"/>
    <x v="1"/>
    <m/>
    <m/>
    <x v="2"/>
    <x v="1"/>
    <x v="1"/>
    <x v="1"/>
    <x v="2"/>
    <x v="2"/>
    <x v="3"/>
    <m/>
  </r>
  <r>
    <s v="亏损部分的加剧或转回-DD"/>
    <s v="Param"/>
    <x v="2"/>
    <x v="4"/>
    <x v="40"/>
    <x v="1"/>
    <m/>
    <m/>
    <x v="2"/>
    <x v="1"/>
    <x v="1"/>
    <x v="1"/>
    <x v="2"/>
    <x v="2"/>
    <x v="3"/>
    <m/>
  </r>
  <r>
    <s v="亏损部分的加剧或转回-ACC"/>
    <s v="Param"/>
    <x v="2"/>
    <x v="5"/>
    <x v="40"/>
    <x v="1"/>
    <m/>
    <m/>
    <x v="2"/>
    <x v="1"/>
    <x v="1"/>
    <x v="1"/>
    <x v="2"/>
    <x v="2"/>
    <x v="3"/>
    <m/>
  </r>
  <r>
    <s v="亏损部分的加剧或转回-HLT"/>
    <s v="Param"/>
    <x v="2"/>
    <x v="6"/>
    <x v="40"/>
    <x v="1"/>
    <m/>
    <m/>
    <x v="2"/>
    <x v="1"/>
    <x v="1"/>
    <x v="1"/>
    <x v="2"/>
    <x v="2"/>
    <x v="3"/>
    <m/>
  </r>
  <r>
    <s v="亏损部分的加剧或转回-WP"/>
    <s v="Param"/>
    <x v="2"/>
    <x v="7"/>
    <x v="40"/>
    <x v="1"/>
    <m/>
    <m/>
    <x v="2"/>
    <x v="1"/>
    <x v="1"/>
    <x v="1"/>
    <x v="2"/>
    <x v="2"/>
    <x v="3"/>
    <m/>
  </r>
  <r>
    <s v="亏损部分的加剧或转回-ANN"/>
    <s v="Param"/>
    <x v="2"/>
    <x v="8"/>
    <x v="40"/>
    <x v="1"/>
    <m/>
    <m/>
    <x v="2"/>
    <x v="1"/>
    <x v="1"/>
    <x v="1"/>
    <x v="2"/>
    <x v="2"/>
    <x v="3"/>
    <m/>
  </r>
  <r>
    <s v="亏损部分的加剧或转回-SURR"/>
    <s v="Param"/>
    <x v="2"/>
    <x v="9"/>
    <x v="40"/>
    <x v="1"/>
    <m/>
    <m/>
    <x v="2"/>
    <x v="1"/>
    <x v="1"/>
    <x v="1"/>
    <x v="2"/>
    <x v="2"/>
    <x v="3"/>
    <m/>
  </r>
  <r>
    <s v="亏损部分的加剧或转回-MAT"/>
    <s v="Param"/>
    <x v="2"/>
    <x v="10"/>
    <x v="40"/>
    <x v="1"/>
    <m/>
    <m/>
    <x v="2"/>
    <x v="1"/>
    <x v="1"/>
    <x v="1"/>
    <x v="2"/>
    <x v="2"/>
    <x v="3"/>
    <m/>
  </r>
  <r>
    <s v="亏损部分的加剧或转回-EXP"/>
    <s v="Param"/>
    <x v="2"/>
    <x v="11"/>
    <x v="40"/>
    <x v="1"/>
    <m/>
    <m/>
    <x v="2"/>
    <x v="1"/>
    <x v="1"/>
    <x v="1"/>
    <x v="2"/>
    <x v="2"/>
    <x v="3"/>
    <m/>
  </r>
  <r>
    <s v="亏损部分的加剧或转回-ASP-DTH"/>
    <s v="Param"/>
    <x v="2"/>
    <x v="13"/>
    <x v="40"/>
    <x v="1"/>
    <m/>
    <m/>
    <x v="2"/>
    <x v="1"/>
    <x v="1"/>
    <x v="1"/>
    <x v="2"/>
    <x v="2"/>
    <x v="3"/>
    <m/>
  </r>
  <r>
    <s v="亏损部分的加剧或转回-ASP-DD"/>
    <s v="Param"/>
    <x v="2"/>
    <x v="14"/>
    <x v="40"/>
    <x v="1"/>
    <m/>
    <m/>
    <x v="2"/>
    <x v="1"/>
    <x v="1"/>
    <x v="1"/>
    <x v="2"/>
    <x v="2"/>
    <x v="3"/>
    <m/>
  </r>
  <r>
    <s v="亏损部分的加剧或转回-ASP-SURR"/>
    <s v="Param"/>
    <x v="2"/>
    <x v="15"/>
    <x v="40"/>
    <x v="1"/>
    <m/>
    <m/>
    <x v="2"/>
    <x v="1"/>
    <x v="1"/>
    <x v="1"/>
    <x v="2"/>
    <x v="2"/>
    <x v="3"/>
    <m/>
  </r>
  <r>
    <s v="亏损部分的加剧或转回-ASP-Expense"/>
    <s v="Param"/>
    <x v="2"/>
    <x v="16"/>
    <x v="40"/>
    <x v="1"/>
    <m/>
    <m/>
    <x v="2"/>
    <x v="1"/>
    <x v="1"/>
    <x v="1"/>
    <x v="2"/>
    <x v="2"/>
    <x v="3"/>
    <m/>
  </r>
  <r>
    <s v="亏损部分的加剧或转回-OTHS"/>
    <s v="Param"/>
    <x v="2"/>
    <x v="1"/>
    <x v="40"/>
    <x v="1"/>
    <m/>
    <m/>
    <x v="2"/>
    <x v="1"/>
    <x v="1"/>
    <x v="1"/>
    <x v="2"/>
    <x v="2"/>
    <x v="3"/>
    <m/>
  </r>
  <r>
    <s v="短险当期保费收入"/>
    <s v="Param"/>
    <x v="2"/>
    <x v="24"/>
    <x v="41"/>
    <x v="1"/>
    <m/>
    <m/>
    <x v="2"/>
    <x v="1"/>
    <x v="1"/>
    <x v="1"/>
    <x v="2"/>
    <x v="2"/>
    <x v="3"/>
    <m/>
  </r>
  <r>
    <s v="短险当期获取费用"/>
    <s v="BEL"/>
    <x v="2"/>
    <x v="20"/>
    <x v="33"/>
    <x v="1"/>
    <m/>
    <m/>
    <x v="2"/>
    <x v="1"/>
    <x v="1"/>
    <x v="1"/>
    <x v="2"/>
    <x v="2"/>
    <x v="3"/>
    <m/>
  </r>
  <r>
    <s v="短险未到期提转差"/>
    <s v="BEL"/>
    <x v="2"/>
    <x v="24"/>
    <x v="41"/>
    <x v="1"/>
    <m/>
    <m/>
    <x v="2"/>
    <x v="1"/>
    <x v="1"/>
    <x v="1"/>
    <x v="2"/>
    <x v="2"/>
    <x v="3"/>
    <m/>
  </r>
  <r>
    <s v="获取费用分摊"/>
    <s v="BEL"/>
    <x v="2"/>
    <x v="24"/>
    <x v="41"/>
    <x v="1"/>
    <m/>
    <m/>
    <x v="2"/>
    <x v="1"/>
    <x v="1"/>
    <x v="1"/>
    <x v="2"/>
    <x v="2"/>
    <x v="3"/>
    <m/>
  </r>
  <r>
    <s v="短险理赔"/>
    <s v="Param"/>
    <x v="2"/>
    <x v="24"/>
    <x v="42"/>
    <x v="1"/>
    <m/>
    <m/>
    <x v="2"/>
    <x v="1"/>
    <x v="1"/>
    <x v="1"/>
    <x v="2"/>
    <x v="2"/>
    <x v="3"/>
    <m/>
  </r>
  <r>
    <s v="短险维持费用"/>
    <s v="Param"/>
    <x v="2"/>
    <x v="24"/>
    <x v="42"/>
    <x v="1"/>
    <m/>
    <m/>
    <x v="2"/>
    <x v="1"/>
    <x v="1"/>
    <x v="1"/>
    <x v="2"/>
    <x v="2"/>
    <x v="3"/>
    <m/>
  </r>
  <r>
    <s v="未决准备金提转差-CY（进展因子调整前）"/>
    <s v="BEL"/>
    <x v="2"/>
    <x v="24"/>
    <x v="42"/>
    <x v="1"/>
    <m/>
    <m/>
    <x v="2"/>
    <x v="1"/>
    <x v="1"/>
    <x v="1"/>
    <x v="2"/>
    <x v="2"/>
    <x v="3"/>
    <m/>
  </r>
  <r>
    <s v="未决准备金提转差-PY（进展因子调整前）"/>
    <s v="BEL"/>
    <x v="2"/>
    <x v="24"/>
    <x v="24"/>
    <x v="1"/>
    <m/>
    <m/>
    <x v="2"/>
    <x v="1"/>
    <x v="1"/>
    <x v="1"/>
    <x v="2"/>
    <x v="2"/>
    <x v="3"/>
    <m/>
  </r>
  <r>
    <s v="未决准备金提转差-CY（进展因子调整）"/>
    <s v="BEL"/>
    <x v="2"/>
    <x v="24"/>
    <x v="42"/>
    <x v="1"/>
    <m/>
    <m/>
    <x v="2"/>
    <x v="1"/>
    <x v="1"/>
    <x v="1"/>
    <x v="2"/>
    <x v="2"/>
    <x v="3"/>
    <m/>
  </r>
  <r>
    <s v="未决准备金提转差-PY（进展因子调整）"/>
    <s v="BEL"/>
    <x v="2"/>
    <x v="24"/>
    <x v="24"/>
    <x v="1"/>
    <m/>
    <m/>
    <x v="2"/>
    <x v="1"/>
    <x v="1"/>
    <x v="1"/>
    <x v="2"/>
    <x v="2"/>
    <x v="3"/>
    <m/>
  </r>
  <r>
    <s v="获取费用分摊"/>
    <s v="Param"/>
    <x v="2"/>
    <x v="24"/>
    <x v="43"/>
    <x v="1"/>
    <m/>
    <m/>
    <x v="2"/>
    <x v="1"/>
    <x v="1"/>
    <x v="1"/>
    <x v="2"/>
    <x v="2"/>
    <x v="3"/>
    <m/>
  </r>
  <r>
    <s v="短险亏损部分提转差"/>
    <s v="Param"/>
    <x v="2"/>
    <x v="24"/>
    <x v="44"/>
    <x v="1"/>
    <m/>
    <m/>
    <x v="2"/>
    <x v="1"/>
    <x v="1"/>
    <x v="1"/>
    <x v="2"/>
    <x v="2"/>
    <x v="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297932-BF41-4BE8-B716-DE78F4148C03}" name="PivotTable2"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rowHeaderCaption="byDriver">
  <location ref="N2:Q58" firstHeaderRow="1" firstDataRow="2" firstDataCol="1"/>
  <pivotFields count="16">
    <pivotField showAll="0" defaultSubtotal="0"/>
    <pivotField subtotalTop="0" showAll="0" defaultSubtotal="0"/>
    <pivotField axis="axisCol" showAll="0" defaultSubtotal="0">
      <items count="6">
        <item h="1" x="0"/>
        <item x="2"/>
        <item x="3"/>
        <item h="1" x="4"/>
        <item x="1"/>
        <item h="1" m="1" x="5"/>
      </items>
    </pivotField>
    <pivotField axis="axisRow" showAll="0" defaultSubtotal="0">
      <items count="28">
        <item sd="0" x="11"/>
        <item sd="0" x="3"/>
        <item x="4"/>
        <item sd="0" x="9"/>
        <item sd="0" x="10"/>
        <item sd="0" x="5"/>
        <item sd="0" x="6"/>
        <item sd="0" x="8"/>
        <item sd="0" x="7"/>
        <item sd="0" x="18"/>
        <item sd="0" x="1"/>
        <item m="1" x="25"/>
        <item sd="0" x="13"/>
        <item sd="0" x="14"/>
        <item sd="0" x="15"/>
        <item sd="0" x="16"/>
        <item sd="0" x="19"/>
        <item sd="0" x="23"/>
        <item sd="0" x="17"/>
        <item x="21"/>
        <item x="22"/>
        <item x="0"/>
        <item x="24"/>
        <item m="1" x="27"/>
        <item m="1" x="26"/>
        <item x="2"/>
        <item x="12"/>
        <item x="20"/>
      </items>
    </pivotField>
    <pivotField axis="axisRow" subtotalTop="0" showAll="0" defaultSubtotal="0">
      <items count="46">
        <item m="1" x="45"/>
        <item x="19"/>
        <item x="23"/>
        <item x="4"/>
        <item x="26"/>
        <item x="29"/>
        <item x="31"/>
        <item x="30"/>
        <item x="2"/>
        <item x="36"/>
        <item x="3"/>
        <item x="34"/>
        <item x="6"/>
        <item x="32"/>
        <item x="8"/>
        <item x="9"/>
        <item x="10"/>
        <item x="11"/>
        <item x="12"/>
        <item x="13"/>
        <item x="14"/>
        <item x="15"/>
        <item x="16"/>
        <item x="17"/>
        <item x="18"/>
        <item x="20"/>
        <item x="1"/>
        <item x="5"/>
        <item x="21"/>
        <item x="22"/>
        <item x="27"/>
        <item x="39"/>
        <item x="7"/>
        <item x="40"/>
        <item x="41"/>
        <item x="42"/>
        <item x="24"/>
        <item x="38"/>
        <item x="43"/>
        <item x="0"/>
        <item x="44"/>
        <item x="35"/>
        <item x="28"/>
        <item x="25"/>
        <item x="37"/>
        <item x="33"/>
      </items>
    </pivotField>
    <pivotField showAll="0" defaultSubtotal="0">
      <items count="2">
        <item x="0"/>
        <item x="1"/>
      </items>
    </pivotField>
    <pivotField showAll="0" defaultSubtotal="0"/>
    <pivotField subtotalTop="0" showAll="0" defaultSubtotal="0"/>
    <pivotField showAll="0" defaultSubtotal="0">
      <items count="3">
        <item x="1"/>
        <item x="0"/>
        <item x="2"/>
      </items>
    </pivotField>
    <pivotField showAll="0" defaultSubtotal="0">
      <items count="2">
        <item x="0"/>
        <item x="1"/>
      </items>
    </pivotField>
    <pivotField showAll="0" defaultSubtotal="0">
      <items count="2">
        <item x="0"/>
        <item x="1"/>
      </items>
    </pivotField>
    <pivotField showAll="0" defaultSubtotal="0">
      <items count="2">
        <item x="0"/>
        <item x="1"/>
      </items>
    </pivotField>
    <pivotField showAll="0" defaultSubtotal="0">
      <items count="3">
        <item x="0"/>
        <item x="1"/>
        <item x="2"/>
      </items>
    </pivotField>
    <pivotField showAll="0" defaultSubtotal="0">
      <items count="4">
        <item x="1"/>
        <item m="1" x="3"/>
        <item x="0"/>
        <item x="2"/>
      </items>
    </pivotField>
    <pivotField showAll="0" defaultSubtotal="0">
      <items count="5">
        <item x="1"/>
        <item x="0"/>
        <item m="1" x="4"/>
        <item x="2"/>
        <item x="3"/>
      </items>
    </pivotField>
    <pivotField showAll="0" defaultSubtotal="0"/>
  </pivotFields>
  <rowFields count="2">
    <field x="3"/>
    <field x="4"/>
  </rowFields>
  <rowItems count="55">
    <i>
      <x/>
    </i>
    <i>
      <x v="1"/>
    </i>
    <i>
      <x v="2"/>
    </i>
    <i r="1">
      <x v="2"/>
    </i>
    <i r="1">
      <x v="10"/>
    </i>
    <i r="1">
      <x v="18"/>
    </i>
    <i r="1">
      <x v="32"/>
    </i>
    <i r="1">
      <x v="33"/>
    </i>
    <i r="1">
      <x v="36"/>
    </i>
    <i>
      <x v="3"/>
    </i>
    <i>
      <x v="4"/>
    </i>
    <i>
      <x v="5"/>
    </i>
    <i>
      <x v="6"/>
    </i>
    <i>
      <x v="7"/>
    </i>
    <i>
      <x v="8"/>
    </i>
    <i>
      <x v="9"/>
    </i>
    <i>
      <x v="10"/>
    </i>
    <i>
      <x v="12"/>
    </i>
    <i>
      <x v="13"/>
    </i>
    <i>
      <x v="14"/>
    </i>
    <i>
      <x v="15"/>
    </i>
    <i>
      <x v="16"/>
    </i>
    <i>
      <x v="17"/>
    </i>
    <i>
      <x v="18"/>
    </i>
    <i>
      <x v="19"/>
    </i>
    <i r="1">
      <x v="45"/>
    </i>
    <i>
      <x v="20"/>
    </i>
    <i r="1">
      <x v="11"/>
    </i>
    <i>
      <x v="22"/>
    </i>
    <i r="1">
      <x v="34"/>
    </i>
    <i r="1">
      <x v="35"/>
    </i>
    <i r="1">
      <x v="36"/>
    </i>
    <i r="1">
      <x v="38"/>
    </i>
    <i r="1">
      <x v="40"/>
    </i>
    <i>
      <x v="25"/>
    </i>
    <i r="1">
      <x v="5"/>
    </i>
    <i r="1">
      <x v="6"/>
    </i>
    <i r="1">
      <x v="7"/>
    </i>
    <i r="1">
      <x v="8"/>
    </i>
    <i r="1">
      <x v="9"/>
    </i>
    <i r="1">
      <x v="28"/>
    </i>
    <i r="1">
      <x v="42"/>
    </i>
    <i>
      <x v="26"/>
    </i>
    <i r="1">
      <x v="13"/>
    </i>
    <i r="1">
      <x v="14"/>
    </i>
    <i r="1">
      <x v="15"/>
    </i>
    <i r="1">
      <x v="16"/>
    </i>
    <i r="1">
      <x v="29"/>
    </i>
    <i r="1">
      <x v="30"/>
    </i>
    <i r="1">
      <x v="42"/>
    </i>
    <i>
      <x v="27"/>
    </i>
    <i r="1">
      <x v="31"/>
    </i>
    <i r="1">
      <x v="37"/>
    </i>
    <i r="1">
      <x v="41"/>
    </i>
    <i r="1">
      <x v="45"/>
    </i>
  </rowItems>
  <colFields count="1">
    <field x="2"/>
  </colFields>
  <colItems count="3">
    <i>
      <x v="1"/>
    </i>
    <i>
      <x v="2"/>
    </i>
    <i>
      <x v="4"/>
    </i>
  </colItems>
  <pivotTableStyleInfo name="PivotStyleLight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alYr" xr10:uid="{25D0729B-098A-484D-BB19-C2E1E77115AF}" sourceName="ValYr">
  <pivotTables>
    <pivotTable tabId="3" name="PivotTable2"/>
  </pivotTables>
  <data>
    <tabular pivotCacheId="1701236452">
      <items count="2">
        <i x="1" s="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原保_再保" xr10:uid="{7B74C079-0299-44FE-8790-9686EB61CC95}" sourceName="原保/再保">
  <pivotTables>
    <pivotTable tabId="3" name="PivotTable2"/>
  </pivotTables>
  <data>
    <tabular pivotCacheId="1701236452">
      <items count="3">
        <i x="2" s="1"/>
        <i x="1" s="1" nd="1"/>
        <i x="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F_NB" xr10:uid="{A0E66B03-C607-4875-840F-EF85DAEEECE2}" sourceName="IF/NB">
  <pivotTables>
    <pivotTable tabId="3" name="PivotTable2"/>
  </pivotTables>
  <data>
    <tabular pivotCacheId="1701236452">
      <items count="2">
        <i x="1" s="1"/>
        <i x="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计量模型" xr10:uid="{B07C9F99-D748-4F13-8244-CC739F2AB60A}" sourceName="计量模型">
  <pivotTables>
    <pivotTable tabId="3" name="PivotTable2"/>
  </pivotTables>
  <data>
    <tabular pivotCacheId="1701236452">
      <items count="2">
        <i x="1" s="1"/>
        <i x="0"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账户" xr10:uid="{0DFD2E73-0DFB-4760-ACF8-5EB3F32F58E5}" sourceName="账户">
  <pivotTables>
    <pivotTable tabId="3" name="PivotTable2"/>
  </pivotTables>
  <data>
    <tabular pivotCacheId="1701236452">
      <items count="2">
        <i x="1" s="1"/>
        <i x="0"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渠道" xr10:uid="{A4FAFB8E-C139-49F9-9D4A-BA526C62BDFE}" sourceName="渠道">
  <pivotTables>
    <pivotTable tabId="3" name="PivotTable2"/>
  </pivotTables>
  <data>
    <tabular pivotCacheId="1701236452">
      <items count="3">
        <i x="2" s="1"/>
        <i x="0" s="1" nd="1"/>
        <i x="1"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产品大类" xr10:uid="{5230A797-528B-439D-9B68-251A6999C9CF}" sourceName="产品大类">
  <pivotTables>
    <pivotTable tabId="3" name="PivotTable2"/>
  </pivotTables>
  <data>
    <tabular pivotCacheId="1701236452">
      <items count="4">
        <i x="2" s="1"/>
        <i x="1" s="1" nd="1"/>
        <i x="3" s="1" nd="1"/>
        <i x="0"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产品类型" xr10:uid="{CCF37641-CE71-4754-851C-6E6AF36B3902}" sourceName="产品类型">
  <pivotTables>
    <pivotTable tabId="3" name="PivotTable2"/>
  </pivotTables>
  <data>
    <tabular pivotCacheId="1701236452">
      <items count="5">
        <i x="3" s="1"/>
        <i x="1" s="1" nd="1"/>
        <i x="0" s="1" nd="1"/>
        <i x="4" s="1" nd="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alYr" xr10:uid="{61ED9394-69B6-4324-A69F-90FE94D727E5}" cache="Slicer_ValYr" caption="ValYr" rowHeight="216000"/>
  <slicer name="原保/再保" xr10:uid="{F0512366-10EF-448F-A653-D02B9F317239}" cache="Slicer_原保_再保" caption="原保/再保" rowHeight="216000"/>
  <slicer name="IF/NB" xr10:uid="{942C5BFA-D4B3-4626-B8E3-BACB2A827FFA}" cache="Slicer_IF_NB" caption="IF/NB" rowHeight="216000"/>
  <slicer name="计量模型" xr10:uid="{D03DF5D1-4684-4AA1-9291-98E64CB5A79D}" cache="Slicer_计量模型" caption="计量模型" rowHeight="216000"/>
  <slicer name="账户" xr10:uid="{88839F9B-94BC-49BA-9254-9E24C4999059}" cache="Slicer_账户" caption="账户" rowHeight="216000"/>
  <slicer name="渠道" xr10:uid="{01510D98-28CD-410D-A58E-DD901F53EB1B}" cache="Slicer_渠道" caption="渠道" rowHeight="216000"/>
  <slicer name="产品大类" xr10:uid="{0A5D0589-7FC7-44C9-8C8E-17AFB6259B84}" cache="Slicer_产品大类" caption="产品大类" rowHeight="216000"/>
  <slicer name="产品类型" xr10:uid="{E10B4C32-F769-4D31-8C88-6D2EE19DD233}" cache="Slicer_产品类型" caption="产品类型" rowHeight="216000"/>
</slicer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A0B00-73B9-4D04-8392-16A839EBA003}">
  <dimension ref="B1:D6"/>
  <sheetViews>
    <sheetView workbookViewId="0">
      <selection activeCell="D42" sqref="D42"/>
    </sheetView>
  </sheetViews>
  <sheetFormatPr defaultRowHeight="12.75" x14ac:dyDescent="0.35"/>
  <cols>
    <col min="2" max="4" width="13.6640625" bestFit="1" customWidth="1"/>
  </cols>
  <sheetData>
    <row r="1" spans="2:4" x14ac:dyDescent="0.35">
      <c r="D1" t="s">
        <v>295</v>
      </c>
    </row>
    <row r="2" spans="2:4" ht="13.15" x14ac:dyDescent="0.4">
      <c r="B2" s="1" t="s">
        <v>16</v>
      </c>
      <c r="C2" s="1" t="s">
        <v>17</v>
      </c>
      <c r="D2" s="41" t="s">
        <v>18</v>
      </c>
    </row>
    <row r="3" spans="2:4" x14ac:dyDescent="0.35">
      <c r="B3" t="s">
        <v>15</v>
      </c>
      <c r="C3" t="s">
        <v>15</v>
      </c>
      <c r="D3" t="s">
        <v>15</v>
      </c>
    </row>
    <row r="4" spans="2:4" x14ac:dyDescent="0.35">
      <c r="B4" t="s">
        <v>14</v>
      </c>
      <c r="C4" s="3" t="s">
        <v>12</v>
      </c>
      <c r="D4" t="s">
        <v>12</v>
      </c>
    </row>
    <row r="5" spans="2:4" x14ac:dyDescent="0.35">
      <c r="B5" t="s">
        <v>12</v>
      </c>
      <c r="C5" s="3" t="s">
        <v>14</v>
      </c>
      <c r="D5" s="4" t="s">
        <v>13</v>
      </c>
    </row>
    <row r="6" spans="2:4" x14ac:dyDescent="0.35">
      <c r="B6" t="s">
        <v>13</v>
      </c>
      <c r="C6" t="s">
        <v>13</v>
      </c>
      <c r="D6" s="4" t="s">
        <v>14</v>
      </c>
    </row>
  </sheetData>
  <phoneticPr fontId="1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79CE8-CAF9-4FB7-B4AA-71DF3641F4C4}">
  <dimension ref="G1:Q64"/>
  <sheetViews>
    <sheetView topLeftCell="F1" workbookViewId="0">
      <selection activeCell="N13" sqref="N13"/>
    </sheetView>
  </sheetViews>
  <sheetFormatPr defaultRowHeight="12.75" x14ac:dyDescent="0.35"/>
  <cols>
    <col min="7" max="7" width="10" bestFit="1" customWidth="1"/>
    <col min="8" max="8" width="5.46484375" customWidth="1"/>
    <col min="9" max="9" width="7.796875" bestFit="1" customWidth="1"/>
    <col min="10" max="10" width="22.86328125" bestFit="1" customWidth="1"/>
    <col min="11" max="11" width="17.86328125" customWidth="1"/>
    <col min="12" max="12" width="8.46484375" bestFit="1" customWidth="1"/>
    <col min="13" max="13" width="3.1328125" customWidth="1"/>
    <col min="14" max="14" width="47.33203125" bestFit="1" customWidth="1"/>
    <col min="15" max="15" width="15.796875" bestFit="1" customWidth="1"/>
    <col min="16" max="16" width="15.46484375" customWidth="1"/>
    <col min="17" max="17" width="14.33203125" customWidth="1"/>
  </cols>
  <sheetData>
    <row r="1" spans="7:17" x14ac:dyDescent="0.35">
      <c r="H1" t="s">
        <v>357</v>
      </c>
      <c r="N1" t="s">
        <v>356</v>
      </c>
    </row>
    <row r="2" spans="7:17" ht="13.15" x14ac:dyDescent="0.4">
      <c r="G2" t="s">
        <v>360</v>
      </c>
      <c r="H2" s="9" t="s">
        <v>143</v>
      </c>
      <c r="I2" s="9" t="s">
        <v>144</v>
      </c>
      <c r="J2" s="10" t="s">
        <v>145</v>
      </c>
      <c r="K2" s="11" t="s">
        <v>146</v>
      </c>
      <c r="O2" s="6" t="s">
        <v>373</v>
      </c>
    </row>
    <row r="3" spans="7:17" ht="13.15" x14ac:dyDescent="0.4">
      <c r="G3" t="s">
        <v>359</v>
      </c>
      <c r="H3" s="12" t="s">
        <v>10</v>
      </c>
      <c r="I3" s="12">
        <v>1</v>
      </c>
      <c r="J3" s="13" t="s">
        <v>147</v>
      </c>
      <c r="K3" s="14">
        <f>K12+K20</f>
        <v>0</v>
      </c>
      <c r="N3" s="6" t="s">
        <v>341</v>
      </c>
      <c r="O3" t="s">
        <v>10</v>
      </c>
      <c r="P3" t="s">
        <v>21</v>
      </c>
      <c r="Q3" t="s">
        <v>78</v>
      </c>
    </row>
    <row r="4" spans="7:17" ht="13.15" x14ac:dyDescent="0.4">
      <c r="H4" s="15" t="s">
        <v>10</v>
      </c>
      <c r="I4" s="16" t="s">
        <v>148</v>
      </c>
      <c r="J4" s="17" t="s">
        <v>149</v>
      </c>
      <c r="K4" s="18">
        <f>K13</f>
        <v>0</v>
      </c>
      <c r="N4" s="7" t="s">
        <v>135</v>
      </c>
    </row>
    <row r="5" spans="7:17" ht="13.15" x14ac:dyDescent="0.4">
      <c r="H5" s="15" t="s">
        <v>10</v>
      </c>
      <c r="I5" s="16" t="s">
        <v>150</v>
      </c>
      <c r="J5" s="17" t="s">
        <v>151</v>
      </c>
      <c r="K5" s="18">
        <f>K14</f>
        <v>0</v>
      </c>
      <c r="N5" s="7" t="s">
        <v>303</v>
      </c>
    </row>
    <row r="6" spans="7:17" ht="13.15" x14ac:dyDescent="0.4">
      <c r="H6" s="15" t="s">
        <v>10</v>
      </c>
      <c r="I6" s="16" t="s">
        <v>152</v>
      </c>
      <c r="J6" s="17" t="s">
        <v>153</v>
      </c>
      <c r="K6" s="18">
        <f>K15+K21</f>
        <v>0</v>
      </c>
      <c r="N6" s="7" t="s">
        <v>304</v>
      </c>
    </row>
    <row r="7" spans="7:17" ht="13.15" x14ac:dyDescent="0.4">
      <c r="H7" s="15" t="s">
        <v>10</v>
      </c>
      <c r="I7" s="16" t="s">
        <v>154</v>
      </c>
      <c r="J7" s="17" t="s">
        <v>155</v>
      </c>
      <c r="K7" s="18">
        <f>K16+K22</f>
        <v>0</v>
      </c>
      <c r="N7" s="8" t="s">
        <v>178</v>
      </c>
    </row>
    <row r="8" spans="7:17" ht="13.15" x14ac:dyDescent="0.4">
      <c r="H8" s="15" t="s">
        <v>10</v>
      </c>
      <c r="I8" s="16" t="s">
        <v>156</v>
      </c>
      <c r="J8" s="17" t="s">
        <v>157</v>
      </c>
      <c r="K8" s="18">
        <f>K25</f>
        <v>0</v>
      </c>
      <c r="N8" s="8" t="s">
        <v>168</v>
      </c>
    </row>
    <row r="9" spans="7:17" ht="13.15" x14ac:dyDescent="0.4">
      <c r="H9" s="15" t="s">
        <v>10</v>
      </c>
      <c r="I9" s="16" t="s">
        <v>158</v>
      </c>
      <c r="J9" s="17" t="s">
        <v>159</v>
      </c>
      <c r="K9" s="18">
        <f>K26</f>
        <v>0</v>
      </c>
      <c r="N9" s="8" t="s">
        <v>261</v>
      </c>
    </row>
    <row r="10" spans="7:17" ht="13.15" x14ac:dyDescent="0.4">
      <c r="H10" s="15" t="s">
        <v>10</v>
      </c>
      <c r="I10" s="16" t="s">
        <v>160</v>
      </c>
      <c r="J10" s="17" t="s">
        <v>161</v>
      </c>
      <c r="K10" s="18">
        <f>K30</f>
        <v>0</v>
      </c>
      <c r="N10" s="8" t="s">
        <v>252</v>
      </c>
    </row>
    <row r="11" spans="7:17" ht="13.15" x14ac:dyDescent="0.4">
      <c r="H11" s="15" t="s">
        <v>10</v>
      </c>
      <c r="I11" s="16" t="s">
        <v>162</v>
      </c>
      <c r="J11" s="17" t="s">
        <v>163</v>
      </c>
      <c r="K11" s="18">
        <f>K19+SUM(K27:K29)</f>
        <v>0</v>
      </c>
      <c r="N11" s="8" t="s">
        <v>159</v>
      </c>
    </row>
    <row r="12" spans="7:17" ht="13.15" x14ac:dyDescent="0.4">
      <c r="G12" t="s">
        <v>358</v>
      </c>
      <c r="H12" s="19" t="s">
        <v>10</v>
      </c>
      <c r="I12" s="19">
        <v>1.1000000000000001</v>
      </c>
      <c r="J12" s="20" t="s">
        <v>164</v>
      </c>
      <c r="K12" s="21">
        <f>SUM(K13:K19)</f>
        <v>0</v>
      </c>
      <c r="N12" s="8" t="s">
        <v>161</v>
      </c>
    </row>
    <row r="13" spans="7:17" ht="13.15" x14ac:dyDescent="0.4">
      <c r="H13" s="15" t="s">
        <v>10</v>
      </c>
      <c r="I13" s="15" t="s">
        <v>165</v>
      </c>
      <c r="J13" s="17" t="s">
        <v>149</v>
      </c>
      <c r="K13" s="22"/>
      <c r="N13" s="7" t="s">
        <v>316</v>
      </c>
    </row>
    <row r="14" spans="7:17" ht="13.15" x14ac:dyDescent="0.4">
      <c r="H14" s="15" t="s">
        <v>10</v>
      </c>
      <c r="I14" s="15" t="s">
        <v>166</v>
      </c>
      <c r="J14" s="17" t="s">
        <v>151</v>
      </c>
      <c r="K14" s="22"/>
      <c r="N14" s="7" t="s">
        <v>317</v>
      </c>
    </row>
    <row r="15" spans="7:17" ht="13.15" x14ac:dyDescent="0.4">
      <c r="H15" s="15" t="s">
        <v>10</v>
      </c>
      <c r="I15" s="15" t="s">
        <v>167</v>
      </c>
      <c r="J15" s="17" t="s">
        <v>168</v>
      </c>
      <c r="K15" s="22"/>
      <c r="N15" s="7" t="s">
        <v>305</v>
      </c>
    </row>
    <row r="16" spans="7:17" ht="13.15" x14ac:dyDescent="0.4">
      <c r="H16" s="15" t="s">
        <v>10</v>
      </c>
      <c r="I16" s="15" t="s">
        <v>169</v>
      </c>
      <c r="J16" s="17" t="s">
        <v>11</v>
      </c>
      <c r="K16" s="22"/>
      <c r="N16" s="7" t="s">
        <v>313</v>
      </c>
    </row>
    <row r="17" spans="8:14" ht="13.15" x14ac:dyDescent="0.4">
      <c r="H17" s="15" t="s">
        <v>10</v>
      </c>
      <c r="I17" s="15" t="s">
        <v>170</v>
      </c>
      <c r="J17" s="17" t="s">
        <v>171</v>
      </c>
      <c r="K17" s="22"/>
      <c r="N17" s="7" t="s">
        <v>315</v>
      </c>
    </row>
    <row r="18" spans="8:14" ht="13.15" x14ac:dyDescent="0.4">
      <c r="H18" s="15" t="s">
        <v>10</v>
      </c>
      <c r="I18" s="15" t="s">
        <v>172</v>
      </c>
      <c r="J18" s="17" t="s">
        <v>173</v>
      </c>
      <c r="K18" s="22"/>
      <c r="N18" s="7" t="s">
        <v>314</v>
      </c>
    </row>
    <row r="19" spans="8:14" ht="13.15" x14ac:dyDescent="0.4">
      <c r="H19" s="15" t="s">
        <v>10</v>
      </c>
      <c r="I19" s="15" t="s">
        <v>174</v>
      </c>
      <c r="J19" s="17" t="s">
        <v>175</v>
      </c>
      <c r="K19" s="22"/>
      <c r="N19" s="7" t="s">
        <v>136</v>
      </c>
    </row>
    <row r="20" spans="8:14" ht="13.15" x14ac:dyDescent="0.4">
      <c r="H20" s="19" t="s">
        <v>10</v>
      </c>
      <c r="I20" s="19">
        <v>1.2</v>
      </c>
      <c r="J20" s="20" t="s">
        <v>176</v>
      </c>
      <c r="K20" s="21">
        <f>SUM(K21:K30)</f>
        <v>0</v>
      </c>
      <c r="N20" s="7" t="s">
        <v>137</v>
      </c>
    </row>
    <row r="21" spans="8:14" ht="13.15" x14ac:dyDescent="0.4">
      <c r="H21" s="15" t="s">
        <v>10</v>
      </c>
      <c r="I21" s="15" t="s">
        <v>177</v>
      </c>
      <c r="J21" s="17" t="s">
        <v>178</v>
      </c>
      <c r="K21" s="22"/>
      <c r="N21" s="7" t="s">
        <v>318</v>
      </c>
    </row>
    <row r="22" spans="8:14" ht="13.15" x14ac:dyDescent="0.4">
      <c r="H22" s="15" t="s">
        <v>10</v>
      </c>
      <c r="I22" s="15" t="s">
        <v>179</v>
      </c>
      <c r="J22" s="17" t="s">
        <v>27</v>
      </c>
      <c r="K22" s="22"/>
      <c r="N22" s="7" t="s">
        <v>319</v>
      </c>
    </row>
    <row r="23" spans="8:14" ht="13.15" x14ac:dyDescent="0.4">
      <c r="H23" s="15" t="s">
        <v>10</v>
      </c>
      <c r="I23" s="15" t="s">
        <v>180</v>
      </c>
      <c r="J23" s="17" t="s">
        <v>171</v>
      </c>
      <c r="K23" s="22"/>
      <c r="N23" s="7" t="s">
        <v>320</v>
      </c>
    </row>
    <row r="24" spans="8:14" ht="13.15" x14ac:dyDescent="0.4">
      <c r="H24" s="15" t="s">
        <v>10</v>
      </c>
      <c r="I24" s="15" t="s">
        <v>181</v>
      </c>
      <c r="J24" s="17" t="s">
        <v>173</v>
      </c>
      <c r="K24" s="22"/>
      <c r="N24" s="7" t="s">
        <v>321</v>
      </c>
    </row>
    <row r="25" spans="8:14" ht="13.15" x14ac:dyDescent="0.4">
      <c r="H25" s="15" t="s">
        <v>10</v>
      </c>
      <c r="I25" s="15" t="s">
        <v>182</v>
      </c>
      <c r="J25" s="17" t="s">
        <v>157</v>
      </c>
      <c r="K25" s="22"/>
      <c r="N25" s="7" t="s">
        <v>322</v>
      </c>
    </row>
    <row r="26" spans="8:14" ht="13.15" x14ac:dyDescent="0.4">
      <c r="H26" s="15" t="s">
        <v>10</v>
      </c>
      <c r="I26" s="15" t="s">
        <v>183</v>
      </c>
      <c r="J26" s="17" t="s">
        <v>159</v>
      </c>
      <c r="K26" s="22"/>
      <c r="N26" s="7" t="s">
        <v>140</v>
      </c>
    </row>
    <row r="27" spans="8:14" ht="13.15" x14ac:dyDescent="0.4">
      <c r="H27" s="15" t="s">
        <v>10</v>
      </c>
      <c r="I27" s="15" t="s">
        <v>184</v>
      </c>
      <c r="J27" s="17" t="s">
        <v>185</v>
      </c>
      <c r="K27" s="22"/>
      <c r="N27" s="7" t="s">
        <v>138</v>
      </c>
    </row>
    <row r="28" spans="8:14" ht="13.15" x14ac:dyDescent="0.4">
      <c r="H28" s="15" t="s">
        <v>10</v>
      </c>
      <c r="I28" s="15" t="s">
        <v>186</v>
      </c>
      <c r="J28" s="17" t="s">
        <v>187</v>
      </c>
      <c r="K28" s="22"/>
      <c r="N28" s="7" t="s">
        <v>298</v>
      </c>
    </row>
    <row r="29" spans="8:14" ht="13.15" x14ac:dyDescent="0.4">
      <c r="H29" s="15" t="s">
        <v>10</v>
      </c>
      <c r="I29" s="15" t="s">
        <v>188</v>
      </c>
      <c r="J29" s="17" t="s">
        <v>189</v>
      </c>
      <c r="K29" s="22"/>
      <c r="N29" s="8" t="s">
        <v>72</v>
      </c>
    </row>
    <row r="30" spans="8:14" ht="13.15" x14ac:dyDescent="0.4">
      <c r="H30" s="15" t="s">
        <v>10</v>
      </c>
      <c r="I30" s="15" t="s">
        <v>190</v>
      </c>
      <c r="J30" s="17" t="s">
        <v>161</v>
      </c>
      <c r="K30" s="22"/>
      <c r="N30" s="7" t="s">
        <v>245</v>
      </c>
    </row>
    <row r="31" spans="8:14" ht="13.15" x14ac:dyDescent="0.4">
      <c r="H31" s="12" t="s">
        <v>10</v>
      </c>
      <c r="I31" s="12">
        <v>2</v>
      </c>
      <c r="J31" s="13" t="s">
        <v>191</v>
      </c>
      <c r="K31" s="23">
        <f>K38+K42</f>
        <v>0</v>
      </c>
      <c r="N31" s="8" t="s">
        <v>157</v>
      </c>
    </row>
    <row r="32" spans="8:14" ht="13.15" x14ac:dyDescent="0.4">
      <c r="H32" s="15" t="s">
        <v>10</v>
      </c>
      <c r="I32" s="16" t="s">
        <v>192</v>
      </c>
      <c r="J32" s="17" t="s">
        <v>193</v>
      </c>
      <c r="K32" s="18">
        <f>K39</f>
        <v>0</v>
      </c>
      <c r="N32" s="7" t="s">
        <v>269</v>
      </c>
    </row>
    <row r="33" spans="8:14" ht="13.15" x14ac:dyDescent="0.4">
      <c r="H33" s="15" t="s">
        <v>10</v>
      </c>
      <c r="I33" s="16" t="s">
        <v>194</v>
      </c>
      <c r="J33" s="17" t="s">
        <v>153</v>
      </c>
      <c r="K33" s="18">
        <f>K40+K43</f>
        <v>0</v>
      </c>
      <c r="N33" s="8" t="s">
        <v>175</v>
      </c>
    </row>
    <row r="34" spans="8:14" ht="13.15" x14ac:dyDescent="0.4">
      <c r="H34" s="15" t="s">
        <v>10</v>
      </c>
      <c r="I34" s="16" t="s">
        <v>195</v>
      </c>
      <c r="J34" s="17" t="s">
        <v>196</v>
      </c>
      <c r="K34" s="18">
        <f>K44</f>
        <v>0</v>
      </c>
      <c r="N34" s="8" t="s">
        <v>185</v>
      </c>
    </row>
    <row r="35" spans="8:14" ht="13.15" x14ac:dyDescent="0.4">
      <c r="H35" s="15" t="s">
        <v>10</v>
      </c>
      <c r="I35" s="16" t="s">
        <v>197</v>
      </c>
      <c r="J35" s="17" t="s">
        <v>198</v>
      </c>
      <c r="K35" s="18">
        <f>K45</f>
        <v>0</v>
      </c>
      <c r="N35" s="8" t="s">
        <v>161</v>
      </c>
    </row>
    <row r="36" spans="8:14" ht="13.15" x14ac:dyDescent="0.4">
      <c r="H36" s="15" t="s">
        <v>10</v>
      </c>
      <c r="I36" s="16" t="s">
        <v>199</v>
      </c>
      <c r="J36" s="17" t="s">
        <v>200</v>
      </c>
      <c r="K36" s="18">
        <f>K46</f>
        <v>0</v>
      </c>
      <c r="N36" s="8" t="s">
        <v>275</v>
      </c>
    </row>
    <row r="37" spans="8:14" ht="13.15" x14ac:dyDescent="0.4">
      <c r="H37" s="15" t="s">
        <v>10</v>
      </c>
      <c r="I37" s="16" t="s">
        <v>201</v>
      </c>
      <c r="J37" s="17" t="s">
        <v>202</v>
      </c>
      <c r="K37" s="18">
        <f>K41+K47</f>
        <v>0</v>
      </c>
      <c r="N37" s="8" t="s">
        <v>189</v>
      </c>
    </row>
    <row r="38" spans="8:14" ht="13.15" x14ac:dyDescent="0.4">
      <c r="H38" s="37" t="s">
        <v>10</v>
      </c>
      <c r="I38" s="37">
        <v>2.1</v>
      </c>
      <c r="J38" s="38" t="s">
        <v>203</v>
      </c>
      <c r="K38" s="21">
        <f>SUM(K39:K41)</f>
        <v>0</v>
      </c>
      <c r="N38" s="7" t="s">
        <v>291</v>
      </c>
    </row>
    <row r="39" spans="8:14" ht="13.15" x14ac:dyDescent="0.4">
      <c r="H39" s="15" t="s">
        <v>10</v>
      </c>
      <c r="I39" s="15" t="s">
        <v>204</v>
      </c>
      <c r="J39" s="17" t="s">
        <v>205</v>
      </c>
      <c r="K39" s="39"/>
      <c r="N39" s="8" t="s">
        <v>224</v>
      </c>
    </row>
    <row r="40" spans="8:14" ht="13.15" x14ac:dyDescent="0.4">
      <c r="H40" s="15" t="s">
        <v>10</v>
      </c>
      <c r="I40" s="15" t="s">
        <v>206</v>
      </c>
      <c r="J40" s="17" t="s">
        <v>207</v>
      </c>
      <c r="K40" s="39"/>
      <c r="N40" s="8" t="s">
        <v>226</v>
      </c>
    </row>
    <row r="41" spans="8:14" ht="13.15" x14ac:dyDescent="0.4">
      <c r="H41" s="15" t="s">
        <v>10</v>
      </c>
      <c r="I41" s="15" t="s">
        <v>208</v>
      </c>
      <c r="J41" s="17" t="s">
        <v>209</v>
      </c>
      <c r="K41" s="39"/>
      <c r="N41" s="8" t="s">
        <v>238</v>
      </c>
    </row>
    <row r="42" spans="8:14" ht="13.15" x14ac:dyDescent="0.4">
      <c r="H42" s="37" t="s">
        <v>10</v>
      </c>
      <c r="I42" s="37">
        <v>2.2000000000000002</v>
      </c>
      <c r="J42" s="38" t="s">
        <v>210</v>
      </c>
      <c r="K42" s="21">
        <f>SUM(K43:K47)</f>
        <v>0</v>
      </c>
      <c r="N42" s="8" t="s">
        <v>232</v>
      </c>
    </row>
    <row r="43" spans="8:14" ht="13.15" x14ac:dyDescent="0.4">
      <c r="H43" s="15" t="s">
        <v>10</v>
      </c>
      <c r="I43" s="15" t="s">
        <v>211</v>
      </c>
      <c r="J43" s="17" t="s">
        <v>212</v>
      </c>
      <c r="K43" s="39"/>
      <c r="N43" s="8" t="s">
        <v>234</v>
      </c>
    </row>
    <row r="44" spans="8:14" ht="13.15" x14ac:dyDescent="0.4">
      <c r="H44" s="15" t="s">
        <v>10</v>
      </c>
      <c r="I44" s="15" t="s">
        <v>213</v>
      </c>
      <c r="J44" s="17" t="s">
        <v>214</v>
      </c>
      <c r="K44" s="39"/>
      <c r="N44" s="8" t="s">
        <v>125</v>
      </c>
    </row>
    <row r="45" spans="8:14" ht="13.15" x14ac:dyDescent="0.4">
      <c r="H45" s="15" t="s">
        <v>10</v>
      </c>
      <c r="I45" s="15" t="s">
        <v>215</v>
      </c>
      <c r="J45" s="17" t="s">
        <v>216</v>
      </c>
      <c r="K45" s="39"/>
      <c r="N45" s="8" t="s">
        <v>227</v>
      </c>
    </row>
    <row r="46" spans="8:14" ht="13.15" x14ac:dyDescent="0.4">
      <c r="H46" s="15" t="s">
        <v>10</v>
      </c>
      <c r="I46" s="15" t="s">
        <v>217</v>
      </c>
      <c r="J46" s="17" t="s">
        <v>218</v>
      </c>
      <c r="K46" s="39"/>
      <c r="N46" s="7" t="s">
        <v>292</v>
      </c>
    </row>
    <row r="47" spans="8:14" ht="13.15" x14ac:dyDescent="0.4">
      <c r="H47" s="15" t="s">
        <v>10</v>
      </c>
      <c r="I47" s="15" t="s">
        <v>219</v>
      </c>
      <c r="J47" s="17" t="s">
        <v>220</v>
      </c>
      <c r="K47" s="39"/>
      <c r="N47" s="8" t="s">
        <v>293</v>
      </c>
    </row>
    <row r="48" spans="8:14" ht="13.15" x14ac:dyDescent="0.4">
      <c r="H48" s="12" t="s">
        <v>10</v>
      </c>
      <c r="I48" s="12">
        <v>3</v>
      </c>
      <c r="J48" s="13" t="s">
        <v>221</v>
      </c>
      <c r="K48" s="25">
        <f>K49+K53</f>
        <v>0</v>
      </c>
      <c r="N48" s="8" t="s">
        <v>253</v>
      </c>
    </row>
    <row r="49" spans="8:14" ht="13.15" x14ac:dyDescent="0.4">
      <c r="H49" s="19" t="s">
        <v>10</v>
      </c>
      <c r="I49" s="19">
        <v>3.1</v>
      </c>
      <c r="J49" s="20" t="s">
        <v>222</v>
      </c>
      <c r="K49" s="26">
        <f>SUM(K50:K51)</f>
        <v>0</v>
      </c>
      <c r="N49" s="8" t="s">
        <v>260</v>
      </c>
    </row>
    <row r="50" spans="8:14" ht="13.15" x14ac:dyDescent="0.4">
      <c r="H50" s="15" t="s">
        <v>10</v>
      </c>
      <c r="I50" s="15" t="s">
        <v>223</v>
      </c>
      <c r="J50" s="15" t="s">
        <v>224</v>
      </c>
      <c r="K50" s="27"/>
      <c r="N50" s="8" t="s">
        <v>259</v>
      </c>
    </row>
    <row r="51" spans="8:14" ht="13.15" x14ac:dyDescent="0.4">
      <c r="H51" s="15" t="s">
        <v>10</v>
      </c>
      <c r="I51" s="15" t="s">
        <v>225</v>
      </c>
      <c r="J51" s="15" t="s">
        <v>226</v>
      </c>
      <c r="K51" s="28"/>
      <c r="N51" s="8" t="s">
        <v>266</v>
      </c>
    </row>
    <row r="52" spans="8:14" ht="13.15" x14ac:dyDescent="0.4">
      <c r="H52" s="15" t="s">
        <v>10</v>
      </c>
      <c r="I52" s="15" t="s">
        <v>284</v>
      </c>
      <c r="J52" s="15" t="s">
        <v>238</v>
      </c>
      <c r="K52" s="22"/>
      <c r="N52" s="8" t="s">
        <v>63</v>
      </c>
    </row>
    <row r="53" spans="8:14" ht="13.15" x14ac:dyDescent="0.4">
      <c r="H53" s="19" t="s">
        <v>10</v>
      </c>
      <c r="I53" s="19">
        <v>3.2</v>
      </c>
      <c r="J53" s="20" t="s">
        <v>228</v>
      </c>
      <c r="K53" s="21">
        <f>K54+K59</f>
        <v>0</v>
      </c>
      <c r="N53" s="8" t="s">
        <v>227</v>
      </c>
    </row>
    <row r="54" spans="8:14" ht="13.15" x14ac:dyDescent="0.4">
      <c r="H54" s="15" t="s">
        <v>10</v>
      </c>
      <c r="I54" s="15" t="s">
        <v>229</v>
      </c>
      <c r="J54" s="17" t="s">
        <v>230</v>
      </c>
      <c r="K54" s="28"/>
      <c r="N54" s="7" t="s">
        <v>72</v>
      </c>
    </row>
    <row r="55" spans="8:14" ht="13.15" x14ac:dyDescent="0.4">
      <c r="H55" s="15" t="s">
        <v>10</v>
      </c>
      <c r="I55" s="15" t="s">
        <v>231</v>
      </c>
      <c r="J55" s="29" t="s">
        <v>232</v>
      </c>
      <c r="K55" s="22"/>
      <c r="N55" s="8" t="s">
        <v>173</v>
      </c>
    </row>
    <row r="56" spans="8:14" ht="13.15" x14ac:dyDescent="0.4">
      <c r="H56" s="15" t="s">
        <v>10</v>
      </c>
      <c r="I56" s="15" t="s">
        <v>233</v>
      </c>
      <c r="J56" s="29" t="s">
        <v>234</v>
      </c>
      <c r="K56" s="22"/>
      <c r="N56" s="8" t="s">
        <v>171</v>
      </c>
    </row>
    <row r="57" spans="8:14" ht="13.15" x14ac:dyDescent="0.4">
      <c r="H57" s="15" t="s">
        <v>10</v>
      </c>
      <c r="I57" s="15" t="s">
        <v>281</v>
      </c>
      <c r="J57" s="17" t="s">
        <v>227</v>
      </c>
      <c r="K57" s="22"/>
      <c r="N57" s="8" t="s">
        <v>247</v>
      </c>
    </row>
    <row r="58" spans="8:14" ht="13.15" x14ac:dyDescent="0.4">
      <c r="H58" s="15" t="s">
        <v>10</v>
      </c>
      <c r="I58" s="15" t="s">
        <v>235</v>
      </c>
      <c r="J58" s="29" t="s">
        <v>290</v>
      </c>
      <c r="K58" s="22"/>
      <c r="N58" s="8" t="s">
        <v>72</v>
      </c>
    </row>
    <row r="59" spans="8:14" ht="13.15" x14ac:dyDescent="0.4">
      <c r="H59" s="15" t="s">
        <v>10</v>
      </c>
      <c r="I59" s="15" t="s">
        <v>236</v>
      </c>
      <c r="J59" s="17" t="s">
        <v>237</v>
      </c>
      <c r="K59" s="24"/>
    </row>
    <row r="60" spans="8:14" ht="13.15" x14ac:dyDescent="0.4">
      <c r="H60" s="12" t="s">
        <v>10</v>
      </c>
      <c r="I60" s="12">
        <v>4</v>
      </c>
      <c r="J60" s="13" t="s">
        <v>238</v>
      </c>
      <c r="K60" s="23">
        <f>K61+K63</f>
        <v>0</v>
      </c>
    </row>
    <row r="61" spans="8:14" ht="13.15" x14ac:dyDescent="0.4">
      <c r="H61" s="30" t="s">
        <v>10</v>
      </c>
      <c r="I61" s="30">
        <v>4.0999999999999996</v>
      </c>
      <c r="J61" s="31" t="s">
        <v>239</v>
      </c>
      <c r="K61" s="27"/>
    </row>
    <row r="62" spans="8:14" ht="13.15" x14ac:dyDescent="0.4">
      <c r="H62" s="30" t="s">
        <v>10</v>
      </c>
      <c r="I62" s="30" t="s">
        <v>240</v>
      </c>
      <c r="J62" s="31" t="s">
        <v>241</v>
      </c>
      <c r="K62" s="27"/>
    </row>
    <row r="63" spans="8:14" ht="13.15" x14ac:dyDescent="0.4">
      <c r="H63" s="30" t="s">
        <v>10</v>
      </c>
      <c r="I63" s="30">
        <v>4.2</v>
      </c>
      <c r="J63" s="31" t="s">
        <v>242</v>
      </c>
      <c r="K63" s="27"/>
    </row>
    <row r="64" spans="8:14" ht="13.15" x14ac:dyDescent="0.4">
      <c r="H64" s="32" t="s">
        <v>10</v>
      </c>
      <c r="I64" s="32"/>
      <c r="J64" s="33" t="s">
        <v>243</v>
      </c>
      <c r="K64" s="34">
        <f>K3+K31+K48+K60</f>
        <v>0</v>
      </c>
    </row>
  </sheetData>
  <phoneticPr fontId="4" type="noConversion"/>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A09A8-F423-493A-9693-9E85272B1A55}">
  <dimension ref="A1:T164"/>
  <sheetViews>
    <sheetView tabSelected="1" zoomScale="115" zoomScaleNormal="115" workbookViewId="0">
      <pane xSplit="1" ySplit="1" topLeftCell="C2" activePane="bottomRight" state="frozen"/>
      <selection pane="topRight" activeCell="B1" sqref="B1"/>
      <selection pane="bottomLeft" activeCell="A2" sqref="A2"/>
      <selection pane="bottomRight" activeCell="E11" sqref="E11"/>
    </sheetView>
  </sheetViews>
  <sheetFormatPr defaultRowHeight="12.75" x14ac:dyDescent="0.35"/>
  <cols>
    <col min="1" max="1" width="43.53125" bestFit="1" customWidth="1"/>
    <col min="2" max="2" width="12" customWidth="1"/>
    <col min="3" max="3" width="11.6640625" customWidth="1"/>
    <col min="4" max="4" width="25.796875" bestFit="1" customWidth="1"/>
    <col min="5" max="5" width="22" customWidth="1"/>
    <col min="6" max="6" width="18.796875" customWidth="1"/>
    <col min="7" max="8" width="17.796875" customWidth="1"/>
    <col min="9" max="9" width="9.796875" customWidth="1"/>
    <col min="10" max="10" width="27" bestFit="1" customWidth="1"/>
    <col min="11" max="11" width="29.796875" customWidth="1"/>
    <col min="12" max="12" width="9.6640625" customWidth="1"/>
    <col min="15" max="15" width="6.33203125" customWidth="1"/>
    <col min="16" max="17" width="8.796875" customWidth="1"/>
    <col min="20" max="20" width="10.46484375" customWidth="1"/>
  </cols>
  <sheetData>
    <row r="1" spans="1:20" x14ac:dyDescent="0.35">
      <c r="A1" t="s">
        <v>2</v>
      </c>
      <c r="B1" t="s">
        <v>363</v>
      </c>
      <c r="C1" t="s">
        <v>366</v>
      </c>
      <c r="D1" t="s">
        <v>364</v>
      </c>
      <c r="E1" t="s">
        <v>365</v>
      </c>
      <c r="F1" s="3" t="s">
        <v>342</v>
      </c>
      <c r="I1" t="s">
        <v>0</v>
      </c>
      <c r="J1" t="s">
        <v>1</v>
      </c>
      <c r="K1" t="s">
        <v>296</v>
      </c>
      <c r="L1" t="s">
        <v>119</v>
      </c>
      <c r="M1" t="s">
        <v>20</v>
      </c>
      <c r="N1" t="s">
        <v>77</v>
      </c>
      <c r="O1" t="s">
        <v>73</v>
      </c>
      <c r="P1" t="s">
        <v>74</v>
      </c>
      <c r="Q1" s="3" t="s">
        <v>346</v>
      </c>
      <c r="R1" t="s">
        <v>75</v>
      </c>
      <c r="S1" s="3" t="s">
        <v>76</v>
      </c>
      <c r="T1" s="3" t="s">
        <v>343</v>
      </c>
    </row>
    <row r="2" spans="1:20" x14ac:dyDescent="0.35">
      <c r="A2" t="s">
        <v>337</v>
      </c>
      <c r="B2" t="s">
        <v>294</v>
      </c>
      <c r="C2" t="s">
        <v>6</v>
      </c>
      <c r="I2">
        <v>2025</v>
      </c>
      <c r="J2" t="s">
        <v>312</v>
      </c>
      <c r="L2" t="s">
        <v>120</v>
      </c>
      <c r="M2" t="s">
        <v>121</v>
      </c>
      <c r="N2" t="s">
        <v>122</v>
      </c>
      <c r="O2" t="s">
        <v>123</v>
      </c>
      <c r="P2" t="s">
        <v>124</v>
      </c>
      <c r="Q2" t="s">
        <v>367</v>
      </c>
      <c r="R2" t="s">
        <v>309</v>
      </c>
      <c r="S2" t="s">
        <v>311</v>
      </c>
    </row>
    <row r="3" spans="1:20" x14ac:dyDescent="0.35">
      <c r="A3" t="s">
        <v>3</v>
      </c>
      <c r="B3" t="s">
        <v>24</v>
      </c>
      <c r="C3" t="s">
        <v>6</v>
      </c>
      <c r="I3">
        <v>2025</v>
      </c>
      <c r="J3" t="s">
        <v>276</v>
      </c>
      <c r="L3" t="s">
        <v>120</v>
      </c>
      <c r="M3" t="s">
        <v>121</v>
      </c>
      <c r="N3" t="s">
        <v>370</v>
      </c>
      <c r="O3" t="s">
        <v>371</v>
      </c>
      <c r="P3" t="s">
        <v>124</v>
      </c>
      <c r="Q3" t="s">
        <v>368</v>
      </c>
      <c r="R3" t="s">
        <v>278</v>
      </c>
      <c r="S3" t="s">
        <v>277</v>
      </c>
    </row>
    <row r="4" spans="1:20" x14ac:dyDescent="0.35">
      <c r="A4" t="s">
        <v>4</v>
      </c>
      <c r="B4" t="s">
        <v>7</v>
      </c>
      <c r="C4" t="s">
        <v>6</v>
      </c>
      <c r="I4">
        <v>2025</v>
      </c>
      <c r="J4" t="s">
        <v>279</v>
      </c>
      <c r="L4" t="s">
        <v>120</v>
      </c>
      <c r="M4" t="s">
        <v>121</v>
      </c>
      <c r="N4" t="s">
        <v>369</v>
      </c>
      <c r="O4" t="s">
        <v>372</v>
      </c>
      <c r="P4" t="s">
        <v>280</v>
      </c>
      <c r="Q4" t="s">
        <v>368</v>
      </c>
      <c r="R4" t="s">
        <v>278</v>
      </c>
      <c r="S4" t="s">
        <v>277</v>
      </c>
    </row>
    <row r="5" spans="1:20" x14ac:dyDescent="0.35">
      <c r="A5" t="s">
        <v>338</v>
      </c>
      <c r="B5" t="s">
        <v>294</v>
      </c>
      <c r="C5" t="s">
        <v>6</v>
      </c>
      <c r="I5">
        <v>2025</v>
      </c>
      <c r="J5" t="s">
        <v>308</v>
      </c>
      <c r="L5" t="s">
        <v>120</v>
      </c>
      <c r="M5" t="s">
        <v>121</v>
      </c>
      <c r="N5" t="s">
        <v>122</v>
      </c>
      <c r="O5" t="s">
        <v>123</v>
      </c>
      <c r="P5" t="s">
        <v>124</v>
      </c>
      <c r="Q5" t="s">
        <v>368</v>
      </c>
      <c r="R5" t="s">
        <v>309</v>
      </c>
      <c r="S5" t="s">
        <v>310</v>
      </c>
    </row>
    <row r="6" spans="1:20" x14ac:dyDescent="0.35">
      <c r="A6" t="s">
        <v>301</v>
      </c>
      <c r="B6" t="s">
        <v>24</v>
      </c>
      <c r="C6" t="s">
        <v>6</v>
      </c>
      <c r="I6">
        <v>2025</v>
      </c>
      <c r="J6" t="s">
        <v>308</v>
      </c>
      <c r="K6" t="s">
        <v>306</v>
      </c>
      <c r="L6" t="s">
        <v>307</v>
      </c>
      <c r="M6" t="s">
        <v>121</v>
      </c>
      <c r="N6" t="s">
        <v>122</v>
      </c>
      <c r="O6" t="s">
        <v>123</v>
      </c>
      <c r="P6" t="s">
        <v>124</v>
      </c>
      <c r="Q6" t="s">
        <v>368</v>
      </c>
      <c r="R6" t="s">
        <v>309</v>
      </c>
      <c r="S6" t="s">
        <v>310</v>
      </c>
      <c r="T6" t="s">
        <v>344</v>
      </c>
    </row>
    <row r="7" spans="1:20" x14ac:dyDescent="0.35">
      <c r="A7" t="s">
        <v>302</v>
      </c>
      <c r="B7" t="s">
        <v>7</v>
      </c>
      <c r="C7" t="s">
        <v>6</v>
      </c>
    </row>
    <row r="8" spans="1:20" x14ac:dyDescent="0.35">
      <c r="A8" t="s">
        <v>336</v>
      </c>
      <c r="B8" t="s">
        <v>294</v>
      </c>
      <c r="C8" t="s">
        <v>6</v>
      </c>
    </row>
    <row r="9" spans="1:20" x14ac:dyDescent="0.35">
      <c r="A9" t="s">
        <v>335</v>
      </c>
      <c r="B9" t="s">
        <v>294</v>
      </c>
      <c r="C9" t="s">
        <v>6</v>
      </c>
    </row>
    <row r="10" spans="1:20" x14ac:dyDescent="0.35">
      <c r="A10" t="s">
        <v>5</v>
      </c>
      <c r="B10" t="s">
        <v>294</v>
      </c>
      <c r="C10" t="s">
        <v>78</v>
      </c>
      <c r="D10" t="s">
        <v>137</v>
      </c>
      <c r="E10" t="s">
        <v>265</v>
      </c>
      <c r="F10" t="s">
        <v>361</v>
      </c>
    </row>
    <row r="11" spans="1:20" ht="13.15" x14ac:dyDescent="0.35">
      <c r="A11" t="s">
        <v>9</v>
      </c>
      <c r="B11" t="s">
        <v>294</v>
      </c>
      <c r="C11" t="s">
        <v>10</v>
      </c>
      <c r="D11" s="46" t="s">
        <v>374</v>
      </c>
      <c r="E11" t="s">
        <v>232</v>
      </c>
      <c r="F11" t="s">
        <v>361</v>
      </c>
    </row>
    <row r="12" spans="1:20" x14ac:dyDescent="0.35">
      <c r="A12" s="40" t="s">
        <v>29</v>
      </c>
      <c r="B12" t="s">
        <v>294</v>
      </c>
      <c r="C12" t="s">
        <v>10</v>
      </c>
      <c r="D12" t="s">
        <v>303</v>
      </c>
      <c r="E12" t="s">
        <v>168</v>
      </c>
      <c r="F12" t="s">
        <v>361</v>
      </c>
    </row>
    <row r="13" spans="1:20" x14ac:dyDescent="0.35">
      <c r="A13" s="40" t="s">
        <v>30</v>
      </c>
      <c r="B13" t="s">
        <v>294</v>
      </c>
      <c r="C13" t="s">
        <v>10</v>
      </c>
      <c r="D13" t="s">
        <v>304</v>
      </c>
      <c r="E13" t="s">
        <v>168</v>
      </c>
      <c r="F13" t="s">
        <v>361</v>
      </c>
    </row>
    <row r="14" spans="1:20" x14ac:dyDescent="0.35">
      <c r="A14" s="44" t="s">
        <v>31</v>
      </c>
      <c r="B14" t="s">
        <v>294</v>
      </c>
      <c r="C14" t="s">
        <v>10</v>
      </c>
      <c r="D14" t="s">
        <v>305</v>
      </c>
      <c r="E14" t="s">
        <v>168</v>
      </c>
      <c r="F14" t="s">
        <v>361</v>
      </c>
    </row>
    <row r="15" spans="1:20" x14ac:dyDescent="0.35">
      <c r="A15" s="44" t="s">
        <v>32</v>
      </c>
      <c r="B15" t="s">
        <v>294</v>
      </c>
      <c r="C15" t="s">
        <v>10</v>
      </c>
      <c r="D15" t="s">
        <v>313</v>
      </c>
      <c r="E15" t="s">
        <v>168</v>
      </c>
      <c r="F15" t="s">
        <v>361</v>
      </c>
    </row>
    <row r="16" spans="1:20" x14ac:dyDescent="0.35">
      <c r="A16" s="42" t="s">
        <v>33</v>
      </c>
      <c r="B16" t="s">
        <v>294</v>
      </c>
      <c r="C16" t="s">
        <v>10</v>
      </c>
      <c r="D16" t="s">
        <v>314</v>
      </c>
      <c r="E16" t="s">
        <v>168</v>
      </c>
      <c r="F16" t="s">
        <v>361</v>
      </c>
    </row>
    <row r="17" spans="1:6" x14ac:dyDescent="0.35">
      <c r="A17" s="44" t="s">
        <v>34</v>
      </c>
      <c r="B17" t="s">
        <v>294</v>
      </c>
      <c r="C17" t="s">
        <v>10</v>
      </c>
      <c r="D17" t="s">
        <v>315</v>
      </c>
      <c r="E17" t="s">
        <v>168</v>
      </c>
      <c r="F17" t="s">
        <v>361</v>
      </c>
    </row>
    <row r="18" spans="1:6" x14ac:dyDescent="0.35">
      <c r="A18" s="40" t="s">
        <v>35</v>
      </c>
      <c r="B18" t="s">
        <v>294</v>
      </c>
      <c r="C18" t="s">
        <v>10</v>
      </c>
      <c r="D18" t="s">
        <v>316</v>
      </c>
      <c r="E18" t="s">
        <v>168</v>
      </c>
      <c r="F18" t="s">
        <v>361</v>
      </c>
    </row>
    <row r="19" spans="1:6" x14ac:dyDescent="0.35">
      <c r="A19" s="44" t="s">
        <v>36</v>
      </c>
      <c r="B19" t="s">
        <v>294</v>
      </c>
      <c r="C19" t="s">
        <v>10</v>
      </c>
      <c r="D19" t="s">
        <v>317</v>
      </c>
      <c r="E19" t="s">
        <v>168</v>
      </c>
      <c r="F19" t="s">
        <v>361</v>
      </c>
    </row>
    <row r="20" spans="1:6" x14ac:dyDescent="0.35">
      <c r="A20" s="3" t="s">
        <v>99</v>
      </c>
      <c r="B20" t="s">
        <v>294</v>
      </c>
      <c r="C20" t="s">
        <v>10</v>
      </c>
      <c r="D20" t="s">
        <v>135</v>
      </c>
      <c r="E20" t="s">
        <v>11</v>
      </c>
      <c r="F20" t="s">
        <v>361</v>
      </c>
    </row>
    <row r="21" spans="1:6" x14ac:dyDescent="0.35">
      <c r="A21" s="3" t="s">
        <v>100</v>
      </c>
      <c r="B21" t="s">
        <v>294</v>
      </c>
      <c r="C21" t="s">
        <v>10</v>
      </c>
      <c r="D21" t="s">
        <v>135</v>
      </c>
      <c r="E21" t="s">
        <v>11</v>
      </c>
      <c r="F21" t="s">
        <v>361</v>
      </c>
    </row>
    <row r="22" spans="1:6" x14ac:dyDescent="0.35">
      <c r="A22" s="3" t="s">
        <v>101</v>
      </c>
      <c r="B22" t="s">
        <v>294</v>
      </c>
      <c r="C22" t="s">
        <v>10</v>
      </c>
      <c r="D22" t="s">
        <v>135</v>
      </c>
      <c r="E22" t="s">
        <v>11</v>
      </c>
      <c r="F22" t="s">
        <v>361</v>
      </c>
    </row>
    <row r="23" spans="1:6" x14ac:dyDescent="0.35">
      <c r="A23" s="3" t="s">
        <v>102</v>
      </c>
      <c r="B23" t="s">
        <v>294</v>
      </c>
      <c r="C23" t="s">
        <v>10</v>
      </c>
      <c r="D23" t="s">
        <v>135</v>
      </c>
      <c r="E23" t="s">
        <v>11</v>
      </c>
      <c r="F23" t="s">
        <v>361</v>
      </c>
    </row>
    <row r="24" spans="1:6" x14ac:dyDescent="0.35">
      <c r="A24" s="3" t="s">
        <v>103</v>
      </c>
      <c r="B24" t="s">
        <v>294</v>
      </c>
      <c r="C24" t="s">
        <v>10</v>
      </c>
      <c r="D24" t="s">
        <v>135</v>
      </c>
      <c r="E24" t="s">
        <v>11</v>
      </c>
      <c r="F24" t="s">
        <v>361</v>
      </c>
    </row>
    <row r="25" spans="1:6" x14ac:dyDescent="0.35">
      <c r="A25" s="3" t="s">
        <v>104</v>
      </c>
      <c r="B25" t="s">
        <v>294</v>
      </c>
      <c r="C25" t="s">
        <v>10</v>
      </c>
      <c r="D25" t="s">
        <v>135</v>
      </c>
      <c r="E25" t="s">
        <v>11</v>
      </c>
      <c r="F25" t="s">
        <v>361</v>
      </c>
    </row>
    <row r="26" spans="1:6" x14ac:dyDescent="0.35">
      <c r="A26" s="3" t="s">
        <v>105</v>
      </c>
      <c r="B26" t="s">
        <v>294</v>
      </c>
      <c r="C26" t="s">
        <v>10</v>
      </c>
      <c r="D26" t="s">
        <v>135</v>
      </c>
      <c r="E26" t="s">
        <v>11</v>
      </c>
      <c r="F26" t="s">
        <v>361</v>
      </c>
    </row>
    <row r="27" spans="1:6" x14ac:dyDescent="0.35">
      <c r="A27" s="3" t="s">
        <v>106</v>
      </c>
      <c r="B27" t="s">
        <v>294</v>
      </c>
      <c r="C27" t="s">
        <v>10</v>
      </c>
      <c r="D27" t="s">
        <v>135</v>
      </c>
      <c r="E27" t="s">
        <v>11</v>
      </c>
      <c r="F27" t="s">
        <v>361</v>
      </c>
    </row>
    <row r="28" spans="1:6" x14ac:dyDescent="0.35">
      <c r="A28" s="3" t="s">
        <v>107</v>
      </c>
      <c r="B28" t="s">
        <v>294</v>
      </c>
      <c r="C28" t="s">
        <v>10</v>
      </c>
      <c r="D28" t="s">
        <v>135</v>
      </c>
      <c r="E28" t="s">
        <v>11</v>
      </c>
      <c r="F28" t="s">
        <v>361</v>
      </c>
    </row>
    <row r="29" spans="1:6" x14ac:dyDescent="0.35">
      <c r="A29" s="3" t="s">
        <v>108</v>
      </c>
      <c r="B29" t="s">
        <v>294</v>
      </c>
      <c r="C29" t="s">
        <v>78</v>
      </c>
      <c r="D29" t="s">
        <v>135</v>
      </c>
      <c r="E29" t="s">
        <v>267</v>
      </c>
      <c r="F29" t="s">
        <v>361</v>
      </c>
    </row>
    <row r="30" spans="1:6" x14ac:dyDescent="0.35">
      <c r="A30" s="3" t="s">
        <v>109</v>
      </c>
      <c r="B30" t="s">
        <v>294</v>
      </c>
      <c r="C30" t="s">
        <v>78</v>
      </c>
      <c r="D30" t="s">
        <v>135</v>
      </c>
      <c r="E30" t="s">
        <v>267</v>
      </c>
      <c r="F30" t="s">
        <v>361</v>
      </c>
    </row>
    <row r="31" spans="1:6" x14ac:dyDescent="0.35">
      <c r="A31" s="3" t="s">
        <v>110</v>
      </c>
      <c r="B31" t="s">
        <v>294</v>
      </c>
      <c r="C31" t="s">
        <v>78</v>
      </c>
      <c r="D31" t="s">
        <v>135</v>
      </c>
      <c r="E31" t="s">
        <v>267</v>
      </c>
      <c r="F31" t="s">
        <v>361</v>
      </c>
    </row>
    <row r="32" spans="1:6" x14ac:dyDescent="0.35">
      <c r="A32" s="3" t="s">
        <v>111</v>
      </c>
      <c r="B32" t="s">
        <v>294</v>
      </c>
      <c r="C32" t="s">
        <v>78</v>
      </c>
      <c r="D32" t="s">
        <v>135</v>
      </c>
      <c r="E32" t="s">
        <v>267</v>
      </c>
      <c r="F32" t="s">
        <v>361</v>
      </c>
    </row>
    <row r="33" spans="1:6" x14ac:dyDescent="0.35">
      <c r="A33" s="3" t="s">
        <v>112</v>
      </c>
      <c r="B33" t="s">
        <v>294</v>
      </c>
      <c r="C33" t="s">
        <v>78</v>
      </c>
      <c r="D33" t="s">
        <v>135</v>
      </c>
      <c r="E33" t="s">
        <v>267</v>
      </c>
      <c r="F33" t="s">
        <v>361</v>
      </c>
    </row>
    <row r="34" spans="1:6" x14ac:dyDescent="0.35">
      <c r="A34" s="3" t="s">
        <v>113</v>
      </c>
      <c r="B34" t="s">
        <v>294</v>
      </c>
      <c r="C34" t="s">
        <v>78</v>
      </c>
      <c r="D34" t="s">
        <v>135</v>
      </c>
      <c r="E34" t="s">
        <v>267</v>
      </c>
      <c r="F34" t="s">
        <v>361</v>
      </c>
    </row>
    <row r="35" spans="1:6" x14ac:dyDescent="0.35">
      <c r="A35" s="3" t="s">
        <v>114</v>
      </c>
      <c r="B35" t="s">
        <v>294</v>
      </c>
      <c r="C35" t="s">
        <v>78</v>
      </c>
      <c r="D35" t="s">
        <v>135</v>
      </c>
      <c r="E35" t="s">
        <v>267</v>
      </c>
      <c r="F35" t="s">
        <v>361</v>
      </c>
    </row>
    <row r="36" spans="1:6" x14ac:dyDescent="0.35">
      <c r="A36" s="3" t="s">
        <v>115</v>
      </c>
      <c r="B36" t="s">
        <v>294</v>
      </c>
      <c r="C36" t="s">
        <v>78</v>
      </c>
      <c r="D36" t="s">
        <v>135</v>
      </c>
      <c r="E36" t="s">
        <v>267</v>
      </c>
      <c r="F36" t="s">
        <v>361</v>
      </c>
    </row>
    <row r="37" spans="1:6" x14ac:dyDescent="0.35">
      <c r="A37" s="3" t="s">
        <v>116</v>
      </c>
      <c r="B37" t="s">
        <v>294</v>
      </c>
      <c r="C37" t="s">
        <v>78</v>
      </c>
      <c r="D37" t="s">
        <v>135</v>
      </c>
      <c r="E37" t="s">
        <v>267</v>
      </c>
      <c r="F37" t="s">
        <v>361</v>
      </c>
    </row>
    <row r="38" spans="1:6" x14ac:dyDescent="0.35">
      <c r="A38" s="3" t="s">
        <v>117</v>
      </c>
      <c r="B38" t="s">
        <v>294</v>
      </c>
      <c r="C38" t="s">
        <v>78</v>
      </c>
      <c r="D38" t="s">
        <v>135</v>
      </c>
      <c r="E38" t="s">
        <v>267</v>
      </c>
      <c r="F38" t="s">
        <v>361</v>
      </c>
    </row>
    <row r="39" spans="1:6" x14ac:dyDescent="0.35">
      <c r="A39" s="3" t="s">
        <v>118</v>
      </c>
      <c r="B39" t="s">
        <v>294</v>
      </c>
      <c r="C39" t="s">
        <v>78</v>
      </c>
      <c r="D39" t="s">
        <v>135</v>
      </c>
      <c r="E39" t="s">
        <v>267</v>
      </c>
      <c r="F39" t="s">
        <v>361</v>
      </c>
    </row>
    <row r="40" spans="1:6" x14ac:dyDescent="0.35">
      <c r="A40" s="40" t="s">
        <v>19</v>
      </c>
      <c r="B40" t="s">
        <v>294</v>
      </c>
      <c r="C40" t="s">
        <v>78</v>
      </c>
      <c r="D40" t="s">
        <v>137</v>
      </c>
      <c r="E40" t="s">
        <v>251</v>
      </c>
      <c r="F40" t="s">
        <v>361</v>
      </c>
    </row>
    <row r="41" spans="1:6" x14ac:dyDescent="0.35">
      <c r="A41" s="5" t="s">
        <v>37</v>
      </c>
      <c r="B41" t="s">
        <v>294</v>
      </c>
      <c r="C41" t="s">
        <v>78</v>
      </c>
      <c r="D41" t="s">
        <v>303</v>
      </c>
      <c r="E41" t="s">
        <v>252</v>
      </c>
      <c r="F41" t="s">
        <v>361</v>
      </c>
    </row>
    <row r="42" spans="1:6" x14ac:dyDescent="0.35">
      <c r="A42" s="5" t="s">
        <v>38</v>
      </c>
      <c r="B42" t="s">
        <v>294</v>
      </c>
      <c r="C42" t="s">
        <v>78</v>
      </c>
      <c r="D42" t="s">
        <v>304</v>
      </c>
      <c r="E42" t="s">
        <v>252</v>
      </c>
      <c r="F42" t="s">
        <v>361</v>
      </c>
    </row>
    <row r="43" spans="1:6" x14ac:dyDescent="0.35">
      <c r="A43" s="5" t="s">
        <v>39</v>
      </c>
      <c r="B43" t="s">
        <v>294</v>
      </c>
      <c r="C43" t="s">
        <v>78</v>
      </c>
      <c r="D43" t="s">
        <v>305</v>
      </c>
      <c r="E43" t="s">
        <v>252</v>
      </c>
      <c r="F43" t="s">
        <v>361</v>
      </c>
    </row>
    <row r="44" spans="1:6" x14ac:dyDescent="0.35">
      <c r="A44" s="5" t="s">
        <v>40</v>
      </c>
      <c r="B44" t="s">
        <v>294</v>
      </c>
      <c r="C44" t="s">
        <v>78</v>
      </c>
      <c r="D44" t="s">
        <v>313</v>
      </c>
      <c r="E44" t="s">
        <v>252</v>
      </c>
      <c r="F44" t="s">
        <v>361</v>
      </c>
    </row>
    <row r="45" spans="1:6" x14ac:dyDescent="0.35">
      <c r="A45" s="5" t="s">
        <v>41</v>
      </c>
      <c r="B45" t="s">
        <v>294</v>
      </c>
      <c r="C45" t="s">
        <v>78</v>
      </c>
      <c r="D45" t="s">
        <v>314</v>
      </c>
      <c r="E45" t="s">
        <v>252</v>
      </c>
      <c r="F45" t="s">
        <v>361</v>
      </c>
    </row>
    <row r="46" spans="1:6" x14ac:dyDescent="0.35">
      <c r="A46" s="5" t="s">
        <v>42</v>
      </c>
      <c r="B46" t="s">
        <v>294</v>
      </c>
      <c r="C46" t="s">
        <v>78</v>
      </c>
      <c r="D46" t="s">
        <v>315</v>
      </c>
      <c r="E46" t="s">
        <v>252</v>
      </c>
      <c r="F46" t="s">
        <v>361</v>
      </c>
    </row>
    <row r="47" spans="1:6" x14ac:dyDescent="0.35">
      <c r="A47" s="5" t="s">
        <v>43</v>
      </c>
      <c r="B47" t="s">
        <v>294</v>
      </c>
      <c r="C47" t="s">
        <v>78</v>
      </c>
      <c r="D47" t="s">
        <v>316</v>
      </c>
      <c r="E47" t="s">
        <v>252</v>
      </c>
      <c r="F47" t="s">
        <v>361</v>
      </c>
    </row>
    <row r="48" spans="1:6" x14ac:dyDescent="0.35">
      <c r="A48" s="5" t="s">
        <v>44</v>
      </c>
      <c r="B48" t="s">
        <v>294</v>
      </c>
      <c r="C48" t="s">
        <v>78</v>
      </c>
      <c r="D48" t="s">
        <v>317</v>
      </c>
      <c r="E48" t="s">
        <v>252</v>
      </c>
      <c r="F48" t="s">
        <v>361</v>
      </c>
    </row>
    <row r="49" spans="1:10" ht="13.15" x14ac:dyDescent="0.35">
      <c r="A49" t="s">
        <v>61</v>
      </c>
      <c r="B49" t="s">
        <v>294</v>
      </c>
      <c r="C49" t="s">
        <v>21</v>
      </c>
      <c r="D49" s="46" t="s">
        <v>375</v>
      </c>
      <c r="E49" t="s">
        <v>253</v>
      </c>
      <c r="F49" t="s">
        <v>361</v>
      </c>
    </row>
    <row r="50" spans="1:10" ht="13.15" x14ac:dyDescent="0.35">
      <c r="A50" t="s">
        <v>22</v>
      </c>
      <c r="B50" t="s">
        <v>294</v>
      </c>
      <c r="C50" t="s">
        <v>21</v>
      </c>
      <c r="D50" s="46" t="s">
        <v>375</v>
      </c>
      <c r="E50" t="s">
        <v>260</v>
      </c>
      <c r="F50" t="s">
        <v>361</v>
      </c>
    </row>
    <row r="51" spans="1:10" ht="13.15" x14ac:dyDescent="0.35">
      <c r="A51" t="s">
        <v>23</v>
      </c>
      <c r="B51" t="s">
        <v>294</v>
      </c>
      <c r="C51" t="s">
        <v>21</v>
      </c>
      <c r="D51" s="46" t="s">
        <v>375</v>
      </c>
      <c r="E51" t="s">
        <v>259</v>
      </c>
      <c r="F51" t="s">
        <v>361</v>
      </c>
    </row>
    <row r="52" spans="1:10" x14ac:dyDescent="0.35">
      <c r="A52" t="s">
        <v>64</v>
      </c>
      <c r="B52" t="s">
        <v>294</v>
      </c>
      <c r="C52" t="s">
        <v>78</v>
      </c>
      <c r="D52" t="s">
        <v>303</v>
      </c>
      <c r="E52" t="s">
        <v>258</v>
      </c>
      <c r="F52" t="s">
        <v>361</v>
      </c>
    </row>
    <row r="53" spans="1:10" x14ac:dyDescent="0.35">
      <c r="A53" t="s">
        <v>65</v>
      </c>
      <c r="B53" t="s">
        <v>294</v>
      </c>
      <c r="C53" t="s">
        <v>78</v>
      </c>
      <c r="D53" t="s">
        <v>304</v>
      </c>
      <c r="E53" t="s">
        <v>261</v>
      </c>
      <c r="F53" t="s">
        <v>361</v>
      </c>
    </row>
    <row r="54" spans="1:10" x14ac:dyDescent="0.35">
      <c r="A54" t="s">
        <v>66</v>
      </c>
      <c r="B54" t="s">
        <v>294</v>
      </c>
      <c r="C54" t="s">
        <v>78</v>
      </c>
      <c r="D54" t="s">
        <v>316</v>
      </c>
      <c r="E54" t="s">
        <v>262</v>
      </c>
      <c r="F54" t="s">
        <v>361</v>
      </c>
    </row>
    <row r="55" spans="1:10" x14ac:dyDescent="0.35">
      <c r="A55" s="43" t="s">
        <v>345</v>
      </c>
      <c r="B55" t="s">
        <v>294</v>
      </c>
      <c r="C55" t="s">
        <v>78</v>
      </c>
      <c r="F55" t="s">
        <v>361</v>
      </c>
    </row>
    <row r="56" spans="1:10" x14ac:dyDescent="0.35">
      <c r="A56" s="5" t="s">
        <v>67</v>
      </c>
      <c r="B56" t="s">
        <v>294</v>
      </c>
      <c r="C56" t="s">
        <v>78</v>
      </c>
      <c r="D56" t="s">
        <v>137</v>
      </c>
      <c r="E56" t="s">
        <v>263</v>
      </c>
      <c r="F56" t="s">
        <v>361</v>
      </c>
    </row>
    <row r="57" spans="1:10" x14ac:dyDescent="0.35">
      <c r="A57" t="s">
        <v>68</v>
      </c>
      <c r="B57" t="s">
        <v>294</v>
      </c>
      <c r="C57" t="s">
        <v>78</v>
      </c>
      <c r="D57" t="s">
        <v>318</v>
      </c>
      <c r="E57" t="s">
        <v>254</v>
      </c>
      <c r="F57" t="s">
        <v>362</v>
      </c>
    </row>
    <row r="58" spans="1:10" x14ac:dyDescent="0.35">
      <c r="A58" t="s">
        <v>69</v>
      </c>
      <c r="B58" t="s">
        <v>294</v>
      </c>
      <c r="C58" t="s">
        <v>78</v>
      </c>
      <c r="D58" t="s">
        <v>319</v>
      </c>
      <c r="E58" t="s">
        <v>255</v>
      </c>
      <c r="F58" t="s">
        <v>362</v>
      </c>
    </row>
    <row r="59" spans="1:10" x14ac:dyDescent="0.35">
      <c r="A59" t="s">
        <v>70</v>
      </c>
      <c r="B59" t="s">
        <v>294</v>
      </c>
      <c r="C59" t="s">
        <v>78</v>
      </c>
      <c r="D59" t="s">
        <v>320</v>
      </c>
      <c r="E59" t="s">
        <v>256</v>
      </c>
      <c r="F59" t="s">
        <v>362</v>
      </c>
      <c r="J59" s="45"/>
    </row>
    <row r="60" spans="1:10" x14ac:dyDescent="0.35">
      <c r="A60" t="s">
        <v>71</v>
      </c>
      <c r="B60" t="s">
        <v>294</v>
      </c>
      <c r="C60" t="s">
        <v>78</v>
      </c>
      <c r="D60" t="s">
        <v>321</v>
      </c>
      <c r="E60" t="s">
        <v>257</v>
      </c>
      <c r="F60" t="s">
        <v>362</v>
      </c>
    </row>
    <row r="61" spans="1:10" x14ac:dyDescent="0.35">
      <c r="A61" t="s">
        <v>25</v>
      </c>
      <c r="B61" t="s">
        <v>24</v>
      </c>
      <c r="C61" t="s">
        <v>10</v>
      </c>
      <c r="D61" t="s">
        <v>138</v>
      </c>
      <c r="E61" t="s">
        <v>25</v>
      </c>
      <c r="F61" t="s">
        <v>361</v>
      </c>
    </row>
    <row r="62" spans="1:10" x14ac:dyDescent="0.35">
      <c r="A62" s="5" t="s">
        <v>26</v>
      </c>
      <c r="B62" t="s">
        <v>24</v>
      </c>
      <c r="C62" t="s">
        <v>78</v>
      </c>
      <c r="D62" t="s">
        <v>137</v>
      </c>
      <c r="E62" t="s">
        <v>264</v>
      </c>
      <c r="F62" t="s">
        <v>361</v>
      </c>
    </row>
    <row r="63" spans="1:10" ht="13.15" x14ac:dyDescent="0.35">
      <c r="A63" t="s">
        <v>125</v>
      </c>
      <c r="B63" t="s">
        <v>294</v>
      </c>
      <c r="C63" t="s">
        <v>10</v>
      </c>
      <c r="D63" s="46" t="s">
        <v>374</v>
      </c>
      <c r="E63" t="s">
        <v>125</v>
      </c>
      <c r="F63" t="s">
        <v>361</v>
      </c>
    </row>
    <row r="64" spans="1:10" ht="13.15" x14ac:dyDescent="0.35">
      <c r="A64" t="s">
        <v>126</v>
      </c>
      <c r="B64" t="s">
        <v>294</v>
      </c>
      <c r="C64" t="s">
        <v>21</v>
      </c>
      <c r="D64" s="46" t="s">
        <v>375</v>
      </c>
      <c r="E64" t="s">
        <v>266</v>
      </c>
      <c r="F64" t="s">
        <v>361</v>
      </c>
    </row>
    <row r="65" spans="1:6" x14ac:dyDescent="0.35">
      <c r="A65" s="2" t="s">
        <v>352</v>
      </c>
      <c r="B65" t="s">
        <v>294</v>
      </c>
      <c r="C65" t="s">
        <v>10</v>
      </c>
      <c r="D65" t="s">
        <v>136</v>
      </c>
      <c r="E65" t="s">
        <v>178</v>
      </c>
      <c r="F65" t="s">
        <v>361</v>
      </c>
    </row>
    <row r="66" spans="1:6" x14ac:dyDescent="0.35">
      <c r="A66" s="2" t="s">
        <v>353</v>
      </c>
      <c r="B66" t="s">
        <v>294</v>
      </c>
      <c r="C66" t="s">
        <v>78</v>
      </c>
      <c r="D66" t="s">
        <v>136</v>
      </c>
      <c r="E66" t="s">
        <v>178</v>
      </c>
      <c r="F66" t="s">
        <v>361</v>
      </c>
    </row>
    <row r="67" spans="1:6" x14ac:dyDescent="0.35">
      <c r="A67" s="2" t="s">
        <v>354</v>
      </c>
      <c r="B67" t="s">
        <v>294</v>
      </c>
      <c r="C67" t="s">
        <v>10</v>
      </c>
      <c r="D67" t="s">
        <v>136</v>
      </c>
      <c r="E67" t="s">
        <v>161</v>
      </c>
      <c r="F67" t="s">
        <v>361</v>
      </c>
    </row>
    <row r="68" spans="1:6" x14ac:dyDescent="0.35">
      <c r="A68" s="2" t="s">
        <v>355</v>
      </c>
      <c r="B68" t="s">
        <v>294</v>
      </c>
      <c r="C68" t="s">
        <v>10</v>
      </c>
      <c r="D68" t="s">
        <v>136</v>
      </c>
      <c r="E68" t="s">
        <v>161</v>
      </c>
      <c r="F68" t="s">
        <v>361</v>
      </c>
    </row>
    <row r="69" spans="1:6" x14ac:dyDescent="0.35">
      <c r="A69" s="2" t="s">
        <v>347</v>
      </c>
      <c r="B69" t="s">
        <v>294</v>
      </c>
      <c r="C69" t="s">
        <v>10</v>
      </c>
      <c r="D69" t="s">
        <v>322</v>
      </c>
      <c r="E69" t="s">
        <v>178</v>
      </c>
      <c r="F69" t="s">
        <v>362</v>
      </c>
    </row>
    <row r="70" spans="1:6" x14ac:dyDescent="0.35">
      <c r="A70" s="2" t="s">
        <v>348</v>
      </c>
      <c r="B70" t="s">
        <v>294</v>
      </c>
      <c r="C70" t="s">
        <v>78</v>
      </c>
      <c r="D70" t="s">
        <v>322</v>
      </c>
      <c r="E70" t="s">
        <v>349</v>
      </c>
      <c r="F70" t="s">
        <v>362</v>
      </c>
    </row>
    <row r="71" spans="1:6" x14ac:dyDescent="0.35">
      <c r="A71" s="2" t="s">
        <v>350</v>
      </c>
      <c r="B71" t="s">
        <v>294</v>
      </c>
      <c r="C71" t="s">
        <v>10</v>
      </c>
      <c r="D71" t="s">
        <v>322</v>
      </c>
      <c r="E71" t="s">
        <v>161</v>
      </c>
      <c r="F71" t="s">
        <v>362</v>
      </c>
    </row>
    <row r="72" spans="1:6" x14ac:dyDescent="0.35">
      <c r="A72" s="2" t="s">
        <v>351</v>
      </c>
      <c r="B72" t="s">
        <v>294</v>
      </c>
      <c r="C72" t="s">
        <v>10</v>
      </c>
      <c r="D72" t="s">
        <v>322</v>
      </c>
      <c r="E72" t="s">
        <v>161</v>
      </c>
      <c r="F72" t="s">
        <v>362</v>
      </c>
    </row>
    <row r="73" spans="1:6" x14ac:dyDescent="0.35">
      <c r="A73" s="3" t="s">
        <v>45</v>
      </c>
      <c r="B73" t="s">
        <v>297</v>
      </c>
      <c r="C73" t="s">
        <v>10</v>
      </c>
      <c r="D73" t="s">
        <v>303</v>
      </c>
      <c r="E73" t="s">
        <v>178</v>
      </c>
      <c r="F73" t="s">
        <v>361</v>
      </c>
    </row>
    <row r="74" spans="1:6" x14ac:dyDescent="0.35">
      <c r="A74" s="3" t="s">
        <v>46</v>
      </c>
      <c r="B74" t="s">
        <v>297</v>
      </c>
      <c r="C74" t="s">
        <v>10</v>
      </c>
      <c r="D74" t="s">
        <v>304</v>
      </c>
      <c r="E74" t="s">
        <v>178</v>
      </c>
      <c r="F74" t="s">
        <v>361</v>
      </c>
    </row>
    <row r="75" spans="1:6" x14ac:dyDescent="0.35">
      <c r="A75" s="3" t="s">
        <v>47</v>
      </c>
      <c r="B75" t="s">
        <v>297</v>
      </c>
      <c r="C75" t="s">
        <v>10</v>
      </c>
      <c r="D75" t="s">
        <v>305</v>
      </c>
      <c r="E75" t="s">
        <v>178</v>
      </c>
      <c r="F75" t="s">
        <v>361</v>
      </c>
    </row>
    <row r="76" spans="1:6" x14ac:dyDescent="0.35">
      <c r="A76" s="3" t="s">
        <v>48</v>
      </c>
      <c r="B76" t="s">
        <v>297</v>
      </c>
      <c r="C76" t="s">
        <v>10</v>
      </c>
      <c r="D76" t="s">
        <v>313</v>
      </c>
      <c r="E76" t="s">
        <v>178</v>
      </c>
      <c r="F76" t="s">
        <v>361</v>
      </c>
    </row>
    <row r="77" spans="1:6" x14ac:dyDescent="0.35">
      <c r="A77" s="3" t="s">
        <v>49</v>
      </c>
      <c r="B77" t="s">
        <v>297</v>
      </c>
      <c r="C77" t="s">
        <v>10</v>
      </c>
      <c r="D77" t="s">
        <v>314</v>
      </c>
      <c r="E77" t="s">
        <v>178</v>
      </c>
      <c r="F77" t="s">
        <v>361</v>
      </c>
    </row>
    <row r="78" spans="1:6" x14ac:dyDescent="0.35">
      <c r="A78" s="3" t="s">
        <v>50</v>
      </c>
      <c r="B78" t="s">
        <v>297</v>
      </c>
      <c r="C78" t="s">
        <v>10</v>
      </c>
      <c r="D78" t="s">
        <v>315</v>
      </c>
      <c r="E78" t="s">
        <v>178</v>
      </c>
      <c r="F78" t="s">
        <v>361</v>
      </c>
    </row>
    <row r="79" spans="1:6" x14ac:dyDescent="0.35">
      <c r="A79" s="3" t="s">
        <v>51</v>
      </c>
      <c r="B79" t="s">
        <v>297</v>
      </c>
      <c r="C79" t="s">
        <v>10</v>
      </c>
      <c r="D79" t="s">
        <v>316</v>
      </c>
      <c r="E79" t="s">
        <v>178</v>
      </c>
      <c r="F79" t="s">
        <v>361</v>
      </c>
    </row>
    <row r="80" spans="1:6" x14ac:dyDescent="0.35">
      <c r="A80" s="3" t="s">
        <v>52</v>
      </c>
      <c r="B80" t="s">
        <v>297</v>
      </c>
      <c r="C80" t="s">
        <v>10</v>
      </c>
      <c r="D80" t="s">
        <v>317</v>
      </c>
      <c r="E80" t="s">
        <v>178</v>
      </c>
      <c r="F80" t="s">
        <v>361</v>
      </c>
    </row>
    <row r="81" spans="1:6" x14ac:dyDescent="0.35">
      <c r="A81" s="5" t="s">
        <v>79</v>
      </c>
      <c r="B81" t="s">
        <v>297</v>
      </c>
      <c r="C81" t="s">
        <v>10</v>
      </c>
      <c r="D81" t="s">
        <v>135</v>
      </c>
      <c r="E81" t="s">
        <v>27</v>
      </c>
      <c r="F81" t="s">
        <v>361</v>
      </c>
    </row>
    <row r="82" spans="1:6" x14ac:dyDescent="0.35">
      <c r="A82" s="5" t="s">
        <v>80</v>
      </c>
      <c r="B82" t="s">
        <v>297</v>
      </c>
      <c r="C82" t="s">
        <v>10</v>
      </c>
      <c r="D82" t="s">
        <v>135</v>
      </c>
      <c r="E82" t="s">
        <v>27</v>
      </c>
      <c r="F82" t="s">
        <v>361</v>
      </c>
    </row>
    <row r="83" spans="1:6" x14ac:dyDescent="0.35">
      <c r="A83" s="5" t="s">
        <v>81</v>
      </c>
      <c r="B83" t="s">
        <v>297</v>
      </c>
      <c r="C83" t="s">
        <v>10</v>
      </c>
      <c r="D83" t="s">
        <v>135</v>
      </c>
      <c r="E83" t="s">
        <v>27</v>
      </c>
      <c r="F83" t="s">
        <v>361</v>
      </c>
    </row>
    <row r="84" spans="1:6" x14ac:dyDescent="0.35">
      <c r="A84" s="5" t="s">
        <v>83</v>
      </c>
      <c r="B84" t="s">
        <v>297</v>
      </c>
      <c r="C84" t="s">
        <v>10</v>
      </c>
      <c r="D84" t="s">
        <v>135</v>
      </c>
      <c r="E84" t="s">
        <v>27</v>
      </c>
      <c r="F84" t="s">
        <v>361</v>
      </c>
    </row>
    <row r="85" spans="1:6" x14ac:dyDescent="0.35">
      <c r="A85" s="5" t="s">
        <v>86</v>
      </c>
      <c r="B85" t="s">
        <v>297</v>
      </c>
      <c r="C85" t="s">
        <v>10</v>
      </c>
      <c r="D85" t="s">
        <v>135</v>
      </c>
      <c r="E85" t="s">
        <v>27</v>
      </c>
      <c r="F85" t="s">
        <v>361</v>
      </c>
    </row>
    <row r="86" spans="1:6" x14ac:dyDescent="0.35">
      <c r="A86" s="5" t="s">
        <v>82</v>
      </c>
      <c r="B86" t="s">
        <v>297</v>
      </c>
      <c r="C86" t="s">
        <v>10</v>
      </c>
      <c r="D86" t="s">
        <v>135</v>
      </c>
      <c r="E86" t="s">
        <v>27</v>
      </c>
      <c r="F86" t="s">
        <v>361</v>
      </c>
    </row>
    <row r="87" spans="1:6" x14ac:dyDescent="0.35">
      <c r="A87" s="5" t="s">
        <v>85</v>
      </c>
      <c r="B87" t="s">
        <v>297</v>
      </c>
      <c r="C87" t="s">
        <v>10</v>
      </c>
      <c r="D87" t="s">
        <v>135</v>
      </c>
      <c r="E87" t="s">
        <v>27</v>
      </c>
      <c r="F87" t="s">
        <v>361</v>
      </c>
    </row>
    <row r="88" spans="1:6" x14ac:dyDescent="0.35">
      <c r="A88" s="5" t="s">
        <v>87</v>
      </c>
      <c r="B88" t="s">
        <v>297</v>
      </c>
      <c r="C88" t="s">
        <v>10</v>
      </c>
      <c r="D88" t="s">
        <v>135</v>
      </c>
      <c r="E88" t="s">
        <v>27</v>
      </c>
      <c r="F88" t="s">
        <v>361</v>
      </c>
    </row>
    <row r="89" spans="1:6" x14ac:dyDescent="0.35">
      <c r="A89" s="5" t="s">
        <v>84</v>
      </c>
      <c r="B89" t="s">
        <v>297</v>
      </c>
      <c r="C89" t="s">
        <v>10</v>
      </c>
      <c r="D89" t="s">
        <v>135</v>
      </c>
      <c r="E89" t="s">
        <v>27</v>
      </c>
      <c r="F89" t="s">
        <v>361</v>
      </c>
    </row>
    <row r="90" spans="1:6" x14ac:dyDescent="0.35">
      <c r="A90" s="5" t="s">
        <v>88</v>
      </c>
      <c r="B90" t="s">
        <v>297</v>
      </c>
      <c r="C90" t="s">
        <v>78</v>
      </c>
      <c r="D90" t="s">
        <v>135</v>
      </c>
      <c r="E90" t="s">
        <v>267</v>
      </c>
      <c r="F90" t="s">
        <v>361</v>
      </c>
    </row>
    <row r="91" spans="1:6" x14ac:dyDescent="0.35">
      <c r="A91" s="5" t="s">
        <v>89</v>
      </c>
      <c r="B91" t="s">
        <v>297</v>
      </c>
      <c r="C91" t="s">
        <v>78</v>
      </c>
      <c r="D91" t="s">
        <v>135</v>
      </c>
      <c r="E91" t="s">
        <v>267</v>
      </c>
      <c r="F91" t="s">
        <v>361</v>
      </c>
    </row>
    <row r="92" spans="1:6" x14ac:dyDescent="0.35">
      <c r="A92" s="5" t="s">
        <v>90</v>
      </c>
      <c r="B92" t="s">
        <v>297</v>
      </c>
      <c r="C92" t="s">
        <v>78</v>
      </c>
      <c r="D92" t="s">
        <v>135</v>
      </c>
      <c r="E92" t="s">
        <v>267</v>
      </c>
      <c r="F92" t="s">
        <v>361</v>
      </c>
    </row>
    <row r="93" spans="1:6" x14ac:dyDescent="0.35">
      <c r="A93" s="5" t="s">
        <v>91</v>
      </c>
      <c r="B93" t="s">
        <v>297</v>
      </c>
      <c r="C93" t="s">
        <v>78</v>
      </c>
      <c r="D93" t="s">
        <v>135</v>
      </c>
      <c r="E93" t="s">
        <v>267</v>
      </c>
      <c r="F93" t="s">
        <v>361</v>
      </c>
    </row>
    <row r="94" spans="1:6" x14ac:dyDescent="0.35">
      <c r="A94" s="5" t="s">
        <v>92</v>
      </c>
      <c r="B94" t="s">
        <v>297</v>
      </c>
      <c r="C94" t="s">
        <v>78</v>
      </c>
      <c r="D94" t="s">
        <v>135</v>
      </c>
      <c r="E94" t="s">
        <v>267</v>
      </c>
      <c r="F94" t="s">
        <v>361</v>
      </c>
    </row>
    <row r="95" spans="1:6" x14ac:dyDescent="0.35">
      <c r="A95" s="5" t="s">
        <v>93</v>
      </c>
      <c r="B95" t="s">
        <v>297</v>
      </c>
      <c r="C95" t="s">
        <v>78</v>
      </c>
      <c r="D95" t="s">
        <v>135</v>
      </c>
      <c r="E95" t="s">
        <v>267</v>
      </c>
      <c r="F95" t="s">
        <v>361</v>
      </c>
    </row>
    <row r="96" spans="1:6" x14ac:dyDescent="0.35">
      <c r="A96" s="5" t="s">
        <v>94</v>
      </c>
      <c r="B96" t="s">
        <v>297</v>
      </c>
      <c r="C96" t="s">
        <v>78</v>
      </c>
      <c r="D96" t="s">
        <v>135</v>
      </c>
      <c r="E96" t="s">
        <v>267</v>
      </c>
      <c r="F96" t="s">
        <v>361</v>
      </c>
    </row>
    <row r="97" spans="1:6" x14ac:dyDescent="0.35">
      <c r="A97" s="5" t="s">
        <v>95</v>
      </c>
      <c r="B97" t="s">
        <v>297</v>
      </c>
      <c r="C97" t="s">
        <v>78</v>
      </c>
      <c r="D97" t="s">
        <v>135</v>
      </c>
      <c r="E97" t="s">
        <v>267</v>
      </c>
      <c r="F97" t="s">
        <v>361</v>
      </c>
    </row>
    <row r="98" spans="1:6" x14ac:dyDescent="0.35">
      <c r="A98" s="5" t="s">
        <v>96</v>
      </c>
      <c r="B98" t="s">
        <v>297</v>
      </c>
      <c r="C98" t="s">
        <v>78</v>
      </c>
      <c r="D98" t="s">
        <v>135</v>
      </c>
      <c r="E98" t="s">
        <v>267</v>
      </c>
      <c r="F98" t="s">
        <v>361</v>
      </c>
    </row>
    <row r="99" spans="1:6" x14ac:dyDescent="0.35">
      <c r="A99" s="5" t="s">
        <v>97</v>
      </c>
      <c r="B99" t="s">
        <v>297</v>
      </c>
      <c r="C99" t="s">
        <v>78</v>
      </c>
      <c r="D99" t="s">
        <v>135</v>
      </c>
      <c r="E99" t="s">
        <v>267</v>
      </c>
      <c r="F99" t="s">
        <v>361</v>
      </c>
    </row>
    <row r="100" spans="1:6" x14ac:dyDescent="0.35">
      <c r="A100" s="5" t="s">
        <v>98</v>
      </c>
      <c r="B100" t="s">
        <v>297</v>
      </c>
      <c r="C100" t="s">
        <v>78</v>
      </c>
      <c r="D100" t="s">
        <v>135</v>
      </c>
      <c r="E100" t="s">
        <v>267</v>
      </c>
      <c r="F100" t="s">
        <v>361</v>
      </c>
    </row>
    <row r="101" spans="1:6" x14ac:dyDescent="0.35">
      <c r="A101" t="s">
        <v>28</v>
      </c>
      <c r="B101" t="s">
        <v>297</v>
      </c>
      <c r="C101" t="s">
        <v>78</v>
      </c>
      <c r="D101" t="s">
        <v>137</v>
      </c>
      <c r="E101" t="s">
        <v>251</v>
      </c>
      <c r="F101" t="s">
        <v>361</v>
      </c>
    </row>
    <row r="102" spans="1:6" x14ac:dyDescent="0.35">
      <c r="A102" s="3" t="s">
        <v>53</v>
      </c>
      <c r="B102" t="s">
        <v>297</v>
      </c>
      <c r="C102" t="s">
        <v>78</v>
      </c>
      <c r="D102" t="s">
        <v>303</v>
      </c>
      <c r="E102" t="s">
        <v>252</v>
      </c>
      <c r="F102" t="s">
        <v>361</v>
      </c>
    </row>
    <row r="103" spans="1:6" x14ac:dyDescent="0.35">
      <c r="A103" s="3" t="s">
        <v>54</v>
      </c>
      <c r="B103" t="s">
        <v>297</v>
      </c>
      <c r="C103" t="s">
        <v>78</v>
      </c>
      <c r="D103" t="s">
        <v>304</v>
      </c>
      <c r="E103" t="s">
        <v>252</v>
      </c>
      <c r="F103" t="s">
        <v>361</v>
      </c>
    </row>
    <row r="104" spans="1:6" x14ac:dyDescent="0.35">
      <c r="A104" s="3" t="s">
        <v>55</v>
      </c>
      <c r="B104" t="s">
        <v>297</v>
      </c>
      <c r="C104" t="s">
        <v>78</v>
      </c>
      <c r="D104" t="s">
        <v>305</v>
      </c>
      <c r="E104" t="s">
        <v>252</v>
      </c>
      <c r="F104" t="s">
        <v>361</v>
      </c>
    </row>
    <row r="105" spans="1:6" x14ac:dyDescent="0.35">
      <c r="A105" s="3" t="s">
        <v>56</v>
      </c>
      <c r="B105" t="s">
        <v>297</v>
      </c>
      <c r="C105" t="s">
        <v>78</v>
      </c>
      <c r="D105" t="s">
        <v>313</v>
      </c>
      <c r="E105" t="s">
        <v>252</v>
      </c>
      <c r="F105" t="s">
        <v>361</v>
      </c>
    </row>
    <row r="106" spans="1:6" x14ac:dyDescent="0.35">
      <c r="A106" s="3" t="s">
        <v>57</v>
      </c>
      <c r="B106" t="s">
        <v>297</v>
      </c>
      <c r="C106" t="s">
        <v>78</v>
      </c>
      <c r="D106" t="s">
        <v>314</v>
      </c>
      <c r="E106" t="s">
        <v>252</v>
      </c>
      <c r="F106" t="s">
        <v>361</v>
      </c>
    </row>
    <row r="107" spans="1:6" x14ac:dyDescent="0.35">
      <c r="A107" s="3" t="s">
        <v>58</v>
      </c>
      <c r="B107" t="s">
        <v>297</v>
      </c>
      <c r="C107" t="s">
        <v>78</v>
      </c>
      <c r="D107" t="s">
        <v>315</v>
      </c>
      <c r="E107" t="s">
        <v>252</v>
      </c>
      <c r="F107" t="s">
        <v>361</v>
      </c>
    </row>
    <row r="108" spans="1:6" x14ac:dyDescent="0.35">
      <c r="A108" s="3" t="s">
        <v>59</v>
      </c>
      <c r="B108" t="s">
        <v>297</v>
      </c>
      <c r="C108" t="s">
        <v>78</v>
      </c>
      <c r="D108" t="s">
        <v>316</v>
      </c>
      <c r="E108" t="s">
        <v>252</v>
      </c>
      <c r="F108" t="s">
        <v>361</v>
      </c>
    </row>
    <row r="109" spans="1:6" x14ac:dyDescent="0.35">
      <c r="A109" s="3" t="s">
        <v>60</v>
      </c>
      <c r="B109" t="s">
        <v>297</v>
      </c>
      <c r="C109" t="s">
        <v>78</v>
      </c>
      <c r="D109" t="s">
        <v>317</v>
      </c>
      <c r="E109" t="s">
        <v>252</v>
      </c>
      <c r="F109" t="s">
        <v>361</v>
      </c>
    </row>
    <row r="110" spans="1:6" ht="13.15" x14ac:dyDescent="0.35">
      <c r="A110" t="s">
        <v>62</v>
      </c>
      <c r="B110" t="s">
        <v>297</v>
      </c>
      <c r="C110" t="s">
        <v>21</v>
      </c>
      <c r="D110" s="46" t="s">
        <v>375</v>
      </c>
      <c r="E110" t="s">
        <v>253</v>
      </c>
      <c r="F110" t="s">
        <v>361</v>
      </c>
    </row>
    <row r="111" spans="1:6" ht="13.15" x14ac:dyDescent="0.35">
      <c r="A111" t="s">
        <v>63</v>
      </c>
      <c r="B111" t="s">
        <v>294</v>
      </c>
      <c r="C111" t="s">
        <v>21</v>
      </c>
      <c r="D111" s="46" t="s">
        <v>375</v>
      </c>
      <c r="E111" t="s">
        <v>63</v>
      </c>
      <c r="F111" t="s">
        <v>361</v>
      </c>
    </row>
    <row r="112" spans="1:6" x14ac:dyDescent="0.35">
      <c r="A112" s="3" t="s">
        <v>127</v>
      </c>
      <c r="B112" t="s">
        <v>297</v>
      </c>
      <c r="C112" t="s">
        <v>10</v>
      </c>
      <c r="D112" t="s">
        <v>303</v>
      </c>
      <c r="E112" t="s">
        <v>161</v>
      </c>
      <c r="F112" t="s">
        <v>361</v>
      </c>
    </row>
    <row r="113" spans="1:6" x14ac:dyDescent="0.35">
      <c r="A113" s="3" t="s">
        <v>128</v>
      </c>
      <c r="B113" t="s">
        <v>297</v>
      </c>
      <c r="C113" t="s">
        <v>10</v>
      </c>
      <c r="D113" t="s">
        <v>304</v>
      </c>
      <c r="E113" t="s">
        <v>161</v>
      </c>
      <c r="F113" t="s">
        <v>361</v>
      </c>
    </row>
    <row r="114" spans="1:6" x14ac:dyDescent="0.35">
      <c r="A114" s="3" t="s">
        <v>129</v>
      </c>
      <c r="B114" t="s">
        <v>297</v>
      </c>
      <c r="C114" t="s">
        <v>10</v>
      </c>
      <c r="D114" t="s">
        <v>305</v>
      </c>
      <c r="E114" t="s">
        <v>161</v>
      </c>
      <c r="F114" t="s">
        <v>361</v>
      </c>
    </row>
    <row r="115" spans="1:6" x14ac:dyDescent="0.35">
      <c r="A115" s="3" t="s">
        <v>130</v>
      </c>
      <c r="B115" t="s">
        <v>297</v>
      </c>
      <c r="C115" t="s">
        <v>10</v>
      </c>
      <c r="D115" t="s">
        <v>313</v>
      </c>
      <c r="E115" t="s">
        <v>161</v>
      </c>
      <c r="F115" t="s">
        <v>361</v>
      </c>
    </row>
    <row r="116" spans="1:6" x14ac:dyDescent="0.35">
      <c r="A116" s="3" t="s">
        <v>131</v>
      </c>
      <c r="B116" t="s">
        <v>297</v>
      </c>
      <c r="C116" t="s">
        <v>10</v>
      </c>
      <c r="D116" t="s">
        <v>314</v>
      </c>
      <c r="E116" t="s">
        <v>161</v>
      </c>
      <c r="F116" t="s">
        <v>361</v>
      </c>
    </row>
    <row r="117" spans="1:6" x14ac:dyDescent="0.35">
      <c r="A117" s="3" t="s">
        <v>132</v>
      </c>
      <c r="B117" t="s">
        <v>297</v>
      </c>
      <c r="C117" t="s">
        <v>10</v>
      </c>
      <c r="D117" t="s">
        <v>315</v>
      </c>
      <c r="E117" t="s">
        <v>161</v>
      </c>
      <c r="F117" t="s">
        <v>361</v>
      </c>
    </row>
    <row r="118" spans="1:6" x14ac:dyDescent="0.35">
      <c r="A118" s="3" t="s">
        <v>133</v>
      </c>
      <c r="B118" t="s">
        <v>297</v>
      </c>
      <c r="C118" t="s">
        <v>10</v>
      </c>
      <c r="D118" t="s">
        <v>316</v>
      </c>
      <c r="E118" t="s">
        <v>161</v>
      </c>
      <c r="F118" t="s">
        <v>361</v>
      </c>
    </row>
    <row r="119" spans="1:6" x14ac:dyDescent="0.35">
      <c r="A119" s="3" t="s">
        <v>134</v>
      </c>
      <c r="B119" t="s">
        <v>297</v>
      </c>
      <c r="C119" t="s">
        <v>10</v>
      </c>
      <c r="D119" t="s">
        <v>317</v>
      </c>
      <c r="E119" t="s">
        <v>161</v>
      </c>
      <c r="F119" t="s">
        <v>361</v>
      </c>
    </row>
    <row r="120" spans="1:6" ht="13.15" x14ac:dyDescent="0.35">
      <c r="A120" t="s">
        <v>282</v>
      </c>
      <c r="B120" t="s">
        <v>297</v>
      </c>
      <c r="C120" t="s">
        <v>10</v>
      </c>
      <c r="D120" s="46" t="s">
        <v>374</v>
      </c>
      <c r="E120" t="s">
        <v>227</v>
      </c>
      <c r="F120" t="s">
        <v>361</v>
      </c>
    </row>
    <row r="121" spans="1:6" ht="13.15" x14ac:dyDescent="0.35">
      <c r="A121" t="s">
        <v>283</v>
      </c>
      <c r="B121" t="s">
        <v>297</v>
      </c>
      <c r="C121" t="s">
        <v>21</v>
      </c>
      <c r="D121" s="46" t="s">
        <v>375</v>
      </c>
      <c r="E121" t="s">
        <v>227</v>
      </c>
      <c r="F121" t="s">
        <v>361</v>
      </c>
    </row>
    <row r="122" spans="1:6" ht="13.15" x14ac:dyDescent="0.35">
      <c r="A122" s="2" t="s">
        <v>224</v>
      </c>
      <c r="B122" t="s">
        <v>297</v>
      </c>
      <c r="C122" t="s">
        <v>10</v>
      </c>
      <c r="D122" s="46" t="s">
        <v>374</v>
      </c>
      <c r="E122" t="s">
        <v>224</v>
      </c>
      <c r="F122" t="s">
        <v>361</v>
      </c>
    </row>
    <row r="123" spans="1:6" ht="13.15" x14ac:dyDescent="0.35">
      <c r="A123" s="2" t="s">
        <v>222</v>
      </c>
      <c r="B123" t="s">
        <v>297</v>
      </c>
      <c r="C123" t="s">
        <v>10</v>
      </c>
      <c r="D123" s="46" t="s">
        <v>374</v>
      </c>
      <c r="E123" t="s">
        <v>238</v>
      </c>
      <c r="F123" t="s">
        <v>361</v>
      </c>
    </row>
    <row r="124" spans="1:6" ht="13.15" x14ac:dyDescent="0.35">
      <c r="A124" s="2" t="s">
        <v>285</v>
      </c>
      <c r="B124" t="s">
        <v>297</v>
      </c>
      <c r="C124" t="s">
        <v>10</v>
      </c>
      <c r="D124" s="46" t="s">
        <v>374</v>
      </c>
      <c r="E124" t="s">
        <v>226</v>
      </c>
      <c r="F124" t="s">
        <v>361</v>
      </c>
    </row>
    <row r="125" spans="1:6" ht="13.15" x14ac:dyDescent="0.35">
      <c r="A125" s="2" t="s">
        <v>286</v>
      </c>
      <c r="B125" t="s">
        <v>297</v>
      </c>
      <c r="C125" t="s">
        <v>10</v>
      </c>
      <c r="D125" s="46" t="s">
        <v>374</v>
      </c>
      <c r="E125" t="s">
        <v>238</v>
      </c>
      <c r="F125" t="s">
        <v>361</v>
      </c>
    </row>
    <row r="126" spans="1:6" ht="13.15" x14ac:dyDescent="0.35">
      <c r="A126" s="2" t="s">
        <v>287</v>
      </c>
      <c r="B126" t="s">
        <v>297</v>
      </c>
      <c r="C126" t="s">
        <v>21</v>
      </c>
      <c r="D126" s="46" t="s">
        <v>375</v>
      </c>
      <c r="E126" t="s">
        <v>293</v>
      </c>
      <c r="F126" t="s">
        <v>361</v>
      </c>
    </row>
    <row r="127" spans="1:6" ht="13.15" x14ac:dyDescent="0.35">
      <c r="A127" s="2" t="s">
        <v>288</v>
      </c>
      <c r="B127" t="s">
        <v>297</v>
      </c>
      <c r="C127" t="s">
        <v>21</v>
      </c>
      <c r="D127" s="46" t="s">
        <v>375</v>
      </c>
      <c r="E127" t="s">
        <v>293</v>
      </c>
      <c r="F127" t="s">
        <v>361</v>
      </c>
    </row>
    <row r="128" spans="1:6" ht="13.15" x14ac:dyDescent="0.35">
      <c r="A128" s="2" t="s">
        <v>289</v>
      </c>
      <c r="B128" t="s">
        <v>297</v>
      </c>
      <c r="C128" t="s">
        <v>21</v>
      </c>
      <c r="D128" s="46" t="s">
        <v>375</v>
      </c>
      <c r="E128" t="s">
        <v>293</v>
      </c>
      <c r="F128" t="s">
        <v>361</v>
      </c>
    </row>
    <row r="129" spans="1:6" x14ac:dyDescent="0.35">
      <c r="A129" t="s">
        <v>299</v>
      </c>
      <c r="B129" t="s">
        <v>294</v>
      </c>
      <c r="C129" t="s">
        <v>78</v>
      </c>
      <c r="D129" t="s">
        <v>72</v>
      </c>
      <c r="E129" t="s">
        <v>72</v>
      </c>
      <c r="F129" t="s">
        <v>361</v>
      </c>
    </row>
    <row r="130" spans="1:6" x14ac:dyDescent="0.35">
      <c r="A130" t="s">
        <v>300</v>
      </c>
      <c r="B130" t="s">
        <v>24</v>
      </c>
      <c r="C130" t="s">
        <v>78</v>
      </c>
      <c r="D130" t="s">
        <v>72</v>
      </c>
      <c r="E130" t="s">
        <v>72</v>
      </c>
      <c r="F130" t="s">
        <v>361</v>
      </c>
    </row>
    <row r="131" spans="1:6" x14ac:dyDescent="0.35">
      <c r="A131" t="s">
        <v>244</v>
      </c>
      <c r="B131" t="s">
        <v>7</v>
      </c>
      <c r="C131" t="s">
        <v>78</v>
      </c>
      <c r="D131" t="s">
        <v>298</v>
      </c>
      <c r="E131" t="s">
        <v>72</v>
      </c>
      <c r="F131" t="s">
        <v>361</v>
      </c>
    </row>
    <row r="132" spans="1:6" x14ac:dyDescent="0.35">
      <c r="A132" t="s">
        <v>246</v>
      </c>
      <c r="B132" t="s">
        <v>72</v>
      </c>
      <c r="C132" s="40" t="s">
        <v>10</v>
      </c>
      <c r="D132" t="s">
        <v>245</v>
      </c>
      <c r="E132" t="s">
        <v>157</v>
      </c>
      <c r="F132" t="s">
        <v>361</v>
      </c>
    </row>
    <row r="133" spans="1:6" x14ac:dyDescent="0.35">
      <c r="A133" s="35" t="s">
        <v>247</v>
      </c>
      <c r="B133" t="s">
        <v>72</v>
      </c>
      <c r="C133" t="s">
        <v>10</v>
      </c>
      <c r="D133" t="s">
        <v>72</v>
      </c>
      <c r="E133" t="s">
        <v>247</v>
      </c>
      <c r="F133" t="s">
        <v>361</v>
      </c>
    </row>
    <row r="134" spans="1:6" ht="13.15" x14ac:dyDescent="0.35">
      <c r="A134" t="s">
        <v>141</v>
      </c>
      <c r="B134" t="s">
        <v>7</v>
      </c>
      <c r="C134" t="s">
        <v>10</v>
      </c>
      <c r="D134" s="46" t="s">
        <v>374</v>
      </c>
      <c r="E134" t="s">
        <v>234</v>
      </c>
      <c r="F134" t="s">
        <v>361</v>
      </c>
    </row>
    <row r="135" spans="1:6" x14ac:dyDescent="0.35">
      <c r="A135" t="s">
        <v>139</v>
      </c>
      <c r="B135" t="s">
        <v>7</v>
      </c>
      <c r="C135" t="s">
        <v>10</v>
      </c>
      <c r="D135" t="s">
        <v>140</v>
      </c>
      <c r="E135" t="s">
        <v>149</v>
      </c>
      <c r="F135" t="s">
        <v>361</v>
      </c>
    </row>
    <row r="136" spans="1:6" x14ac:dyDescent="0.35">
      <c r="A136" t="s">
        <v>8</v>
      </c>
      <c r="B136" t="s">
        <v>72</v>
      </c>
      <c r="C136" t="s">
        <v>72</v>
      </c>
      <c r="D136" t="s">
        <v>72</v>
      </c>
      <c r="E136" t="s">
        <v>72</v>
      </c>
      <c r="F136" t="s">
        <v>361</v>
      </c>
    </row>
    <row r="137" spans="1:6" x14ac:dyDescent="0.35">
      <c r="A137" s="35" t="s">
        <v>248</v>
      </c>
      <c r="B137" t="s">
        <v>72</v>
      </c>
      <c r="C137" t="s">
        <v>10</v>
      </c>
      <c r="D137" t="s">
        <v>72</v>
      </c>
      <c r="E137" t="s">
        <v>171</v>
      </c>
      <c r="F137" t="s">
        <v>361</v>
      </c>
    </row>
    <row r="138" spans="1:6" x14ac:dyDescent="0.35">
      <c r="A138" s="35" t="s">
        <v>173</v>
      </c>
      <c r="B138" t="s">
        <v>72</v>
      </c>
      <c r="C138" t="s">
        <v>10</v>
      </c>
      <c r="D138" t="s">
        <v>72</v>
      </c>
      <c r="E138" t="s">
        <v>173</v>
      </c>
      <c r="F138" t="s">
        <v>361</v>
      </c>
    </row>
    <row r="139" spans="1:6" ht="13.15" x14ac:dyDescent="0.4">
      <c r="A139" s="36" t="s">
        <v>323</v>
      </c>
      <c r="B139" t="s">
        <v>72</v>
      </c>
      <c r="C139" s="40" t="s">
        <v>10</v>
      </c>
      <c r="D139" t="s">
        <v>303</v>
      </c>
      <c r="E139" t="s">
        <v>159</v>
      </c>
      <c r="F139" t="s">
        <v>361</v>
      </c>
    </row>
    <row r="140" spans="1:6" ht="13.15" x14ac:dyDescent="0.4">
      <c r="A140" s="36" t="s">
        <v>324</v>
      </c>
      <c r="B140" t="s">
        <v>72</v>
      </c>
      <c r="C140" s="40" t="s">
        <v>10</v>
      </c>
      <c r="D140" t="s">
        <v>304</v>
      </c>
      <c r="E140" t="s">
        <v>159</v>
      </c>
      <c r="F140" t="s">
        <v>361</v>
      </c>
    </row>
    <row r="141" spans="1:6" ht="13.15" x14ac:dyDescent="0.4">
      <c r="A141" s="36" t="s">
        <v>325</v>
      </c>
      <c r="B141" t="s">
        <v>72</v>
      </c>
      <c r="C141" s="40" t="s">
        <v>10</v>
      </c>
      <c r="D141" t="s">
        <v>305</v>
      </c>
      <c r="E141" t="s">
        <v>159</v>
      </c>
      <c r="F141" t="s">
        <v>361</v>
      </c>
    </row>
    <row r="142" spans="1:6" ht="13.15" x14ac:dyDescent="0.4">
      <c r="A142" s="36" t="s">
        <v>326</v>
      </c>
      <c r="B142" t="s">
        <v>72</v>
      </c>
      <c r="C142" s="40" t="s">
        <v>10</v>
      </c>
      <c r="D142" t="s">
        <v>313</v>
      </c>
      <c r="E142" t="s">
        <v>159</v>
      </c>
      <c r="F142" t="s">
        <v>361</v>
      </c>
    </row>
    <row r="143" spans="1:6" ht="13.15" x14ac:dyDescent="0.4">
      <c r="A143" s="36" t="s">
        <v>327</v>
      </c>
      <c r="B143" t="s">
        <v>72</v>
      </c>
      <c r="C143" s="40" t="s">
        <v>10</v>
      </c>
      <c r="D143" t="s">
        <v>314</v>
      </c>
      <c r="E143" t="s">
        <v>159</v>
      </c>
      <c r="F143" t="s">
        <v>361</v>
      </c>
    </row>
    <row r="144" spans="1:6" ht="13.15" x14ac:dyDescent="0.4">
      <c r="A144" s="36" t="s">
        <v>328</v>
      </c>
      <c r="B144" t="s">
        <v>72</v>
      </c>
      <c r="C144" s="40" t="s">
        <v>10</v>
      </c>
      <c r="D144" t="s">
        <v>315</v>
      </c>
      <c r="E144" t="s">
        <v>159</v>
      </c>
      <c r="F144" t="s">
        <v>361</v>
      </c>
    </row>
    <row r="145" spans="1:6" ht="13.15" x14ac:dyDescent="0.4">
      <c r="A145" s="36" t="s">
        <v>329</v>
      </c>
      <c r="B145" t="s">
        <v>72</v>
      </c>
      <c r="C145" s="40" t="s">
        <v>10</v>
      </c>
      <c r="D145" t="s">
        <v>316</v>
      </c>
      <c r="E145" t="s">
        <v>159</v>
      </c>
      <c r="F145" t="s">
        <v>361</v>
      </c>
    </row>
    <row r="146" spans="1:6" ht="13.15" x14ac:dyDescent="0.4">
      <c r="A146" s="36" t="s">
        <v>330</v>
      </c>
      <c r="B146" t="s">
        <v>72</v>
      </c>
      <c r="C146" s="40" t="s">
        <v>10</v>
      </c>
      <c r="D146" t="s">
        <v>317</v>
      </c>
      <c r="E146" t="s">
        <v>159</v>
      </c>
      <c r="F146" t="s">
        <v>361</v>
      </c>
    </row>
    <row r="147" spans="1:6" ht="13.15" x14ac:dyDescent="0.4">
      <c r="A147" s="36" t="s">
        <v>249</v>
      </c>
      <c r="B147" t="s">
        <v>72</v>
      </c>
      <c r="C147" s="40" t="s">
        <v>10</v>
      </c>
      <c r="D147" t="s">
        <v>135</v>
      </c>
      <c r="E147" t="s">
        <v>159</v>
      </c>
      <c r="F147" t="s">
        <v>361</v>
      </c>
    </row>
    <row r="148" spans="1:6" ht="13.15" x14ac:dyDescent="0.4">
      <c r="A148" s="36" t="s">
        <v>331</v>
      </c>
      <c r="B148" t="s">
        <v>72</v>
      </c>
      <c r="C148" s="40" t="s">
        <v>10</v>
      </c>
      <c r="D148" t="s">
        <v>318</v>
      </c>
      <c r="E148" t="s">
        <v>159</v>
      </c>
      <c r="F148" t="s">
        <v>362</v>
      </c>
    </row>
    <row r="149" spans="1:6" ht="13.15" x14ac:dyDescent="0.4">
      <c r="A149" s="36" t="s">
        <v>332</v>
      </c>
      <c r="B149" t="s">
        <v>72</v>
      </c>
      <c r="C149" s="40" t="s">
        <v>10</v>
      </c>
      <c r="D149" t="s">
        <v>319</v>
      </c>
      <c r="E149" t="s">
        <v>159</v>
      </c>
      <c r="F149" t="s">
        <v>362</v>
      </c>
    </row>
    <row r="150" spans="1:6" ht="13.15" x14ac:dyDescent="0.4">
      <c r="A150" s="36" t="s">
        <v>333</v>
      </c>
      <c r="B150" t="s">
        <v>72</v>
      </c>
      <c r="C150" s="40" t="s">
        <v>10</v>
      </c>
      <c r="D150" t="s">
        <v>320</v>
      </c>
      <c r="E150" t="s">
        <v>159</v>
      </c>
      <c r="F150" t="s">
        <v>362</v>
      </c>
    </row>
    <row r="151" spans="1:6" ht="13.15" x14ac:dyDescent="0.4">
      <c r="A151" s="36" t="s">
        <v>334</v>
      </c>
      <c r="B151" t="s">
        <v>72</v>
      </c>
      <c r="C151" s="40" t="s">
        <v>10</v>
      </c>
      <c r="D151" t="s">
        <v>321</v>
      </c>
      <c r="E151" t="s">
        <v>159</v>
      </c>
      <c r="F151" t="s">
        <v>362</v>
      </c>
    </row>
    <row r="152" spans="1:6" ht="13.15" x14ac:dyDescent="0.4">
      <c r="A152" s="36" t="s">
        <v>268</v>
      </c>
      <c r="B152" t="s">
        <v>72</v>
      </c>
      <c r="C152" s="40" t="s">
        <v>10</v>
      </c>
      <c r="D152" t="s">
        <v>137</v>
      </c>
      <c r="E152" t="s">
        <v>159</v>
      </c>
      <c r="F152" t="s">
        <v>361</v>
      </c>
    </row>
    <row r="153" spans="1:6" x14ac:dyDescent="0.35">
      <c r="A153" t="s">
        <v>340</v>
      </c>
      <c r="B153" t="s">
        <v>72</v>
      </c>
      <c r="C153" t="s">
        <v>10</v>
      </c>
      <c r="D153" t="s">
        <v>269</v>
      </c>
      <c r="E153" t="s">
        <v>175</v>
      </c>
      <c r="F153" t="s">
        <v>361</v>
      </c>
    </row>
    <row r="154" spans="1:6" x14ac:dyDescent="0.35">
      <c r="A154" t="s">
        <v>339</v>
      </c>
      <c r="B154" t="s">
        <v>294</v>
      </c>
      <c r="C154" t="s">
        <v>10</v>
      </c>
      <c r="D154" t="s">
        <v>72</v>
      </c>
      <c r="E154" t="s">
        <v>72</v>
      </c>
      <c r="F154" t="s">
        <v>361</v>
      </c>
    </row>
    <row r="155" spans="1:6" x14ac:dyDescent="0.35">
      <c r="A155" t="s">
        <v>270</v>
      </c>
      <c r="B155" t="s">
        <v>294</v>
      </c>
      <c r="C155" t="s">
        <v>10</v>
      </c>
      <c r="D155" t="s">
        <v>269</v>
      </c>
      <c r="E155" t="s">
        <v>175</v>
      </c>
      <c r="F155" t="s">
        <v>361</v>
      </c>
    </row>
    <row r="156" spans="1:6" x14ac:dyDescent="0.35">
      <c r="A156" s="35" t="s">
        <v>248</v>
      </c>
      <c r="B156" t="s">
        <v>294</v>
      </c>
      <c r="C156" t="s">
        <v>10</v>
      </c>
      <c r="D156" t="s">
        <v>269</v>
      </c>
      <c r="E156" t="s">
        <v>175</v>
      </c>
      <c r="F156" t="s">
        <v>361</v>
      </c>
    </row>
    <row r="157" spans="1:6" x14ac:dyDescent="0.35">
      <c r="A157" t="s">
        <v>271</v>
      </c>
      <c r="B157" t="s">
        <v>72</v>
      </c>
      <c r="C157" t="s">
        <v>10</v>
      </c>
      <c r="D157" t="s">
        <v>269</v>
      </c>
      <c r="E157" t="s">
        <v>185</v>
      </c>
      <c r="F157" t="s">
        <v>361</v>
      </c>
    </row>
    <row r="158" spans="1:6" x14ac:dyDescent="0.35">
      <c r="A158" t="s">
        <v>272</v>
      </c>
      <c r="B158" t="s">
        <v>72</v>
      </c>
      <c r="C158" t="s">
        <v>10</v>
      </c>
      <c r="D158" t="s">
        <v>269</v>
      </c>
      <c r="E158" t="s">
        <v>185</v>
      </c>
      <c r="F158" t="s">
        <v>361</v>
      </c>
    </row>
    <row r="159" spans="1:6" x14ac:dyDescent="0.35">
      <c r="A159" s="2" t="s">
        <v>274</v>
      </c>
      <c r="B159" t="s">
        <v>294</v>
      </c>
      <c r="C159" t="s">
        <v>10</v>
      </c>
      <c r="D159" t="s">
        <v>269</v>
      </c>
      <c r="E159" t="s">
        <v>185</v>
      </c>
      <c r="F159" t="s">
        <v>361</v>
      </c>
    </row>
    <row r="160" spans="1:6" x14ac:dyDescent="0.35">
      <c r="A160" s="2" t="s">
        <v>142</v>
      </c>
      <c r="B160" t="s">
        <v>294</v>
      </c>
      <c r="C160" t="s">
        <v>10</v>
      </c>
      <c r="D160" t="s">
        <v>269</v>
      </c>
      <c r="E160" t="s">
        <v>161</v>
      </c>
      <c r="F160" t="s">
        <v>361</v>
      </c>
    </row>
    <row r="161" spans="1:6" x14ac:dyDescent="0.35">
      <c r="A161" s="2" t="s">
        <v>273</v>
      </c>
      <c r="B161" t="s">
        <v>294</v>
      </c>
      <c r="C161" t="s">
        <v>10</v>
      </c>
      <c r="D161" t="s">
        <v>269</v>
      </c>
      <c r="E161" t="s">
        <v>185</v>
      </c>
      <c r="F161" t="s">
        <v>361</v>
      </c>
    </row>
    <row r="162" spans="1:6" x14ac:dyDescent="0.35">
      <c r="A162" s="2" t="s">
        <v>250</v>
      </c>
      <c r="B162" t="s">
        <v>294</v>
      </c>
      <c r="C162" t="s">
        <v>10</v>
      </c>
      <c r="D162" t="s">
        <v>269</v>
      </c>
      <c r="E162" t="s">
        <v>161</v>
      </c>
      <c r="F162" t="s">
        <v>361</v>
      </c>
    </row>
    <row r="163" spans="1:6" x14ac:dyDescent="0.35">
      <c r="A163" s="35" t="s">
        <v>248</v>
      </c>
      <c r="B163" t="s">
        <v>72</v>
      </c>
      <c r="C163" t="s">
        <v>10</v>
      </c>
      <c r="D163" t="s">
        <v>269</v>
      </c>
      <c r="E163" t="s">
        <v>275</v>
      </c>
      <c r="F163" t="s">
        <v>361</v>
      </c>
    </row>
    <row r="164" spans="1:6" x14ac:dyDescent="0.35">
      <c r="A164" t="s">
        <v>189</v>
      </c>
      <c r="B164" t="s">
        <v>72</v>
      </c>
      <c r="C164" t="s">
        <v>10</v>
      </c>
      <c r="D164" t="s">
        <v>269</v>
      </c>
      <c r="E164" t="s">
        <v>189</v>
      </c>
      <c r="F164" t="s">
        <v>361</v>
      </c>
    </row>
  </sheetData>
  <autoFilter ref="A1:U164" xr:uid="{21AA09A8-F423-493A-9693-9E85272B1A55}"/>
  <phoneticPr fontId="4" type="noConversion"/>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Email_x0020_DateTime xmlns="14347AC9-2823-4A4E-BBBD-06E988584694" xsi:nil="true"/>
    <Email_x0020_From xmlns="14347AC9-2823-4A4E-BBBD-06E988584694" xsi:nil="true"/>
    <Email_x0020_Subject xmlns="14347AC9-2823-4A4E-BBBD-06E988584694" xsi:nil="true"/>
    <Email_x0020_To xmlns="14347AC9-2823-4A4E-BBBD-06E988584694" xsi:nil="true"/>
    <Email_x0020_Importance xmlns="14347AC9-2823-4A4E-BBBD-06E988584694" xsi:nil="true"/>
    <PublishingExpirationDate xmlns="http://schemas.microsoft.com/sharepoint/v3" xsi:nil="true"/>
    <PublishingStartDate xmlns="http://schemas.microsoft.com/sharepoint/v3" xsi:nil="true"/>
    <Email_x0020_Cc xmlns="14347AC9-2823-4A4E-BBBD-06E98858469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80E05C2DD46FB4D9EAB6CDB7B7EA83F" ma:contentTypeVersion="" ma:contentTypeDescription="Create a new document." ma:contentTypeScope="" ma:versionID="400ccf334c78b48cbf0b77f2df1a2c64">
  <xsd:schema xmlns:xsd="http://www.w3.org/2001/XMLSchema" xmlns:xs="http://www.w3.org/2001/XMLSchema" xmlns:p="http://schemas.microsoft.com/office/2006/metadata/properties" xmlns:ns1="http://schemas.microsoft.com/sharepoint/v3" xmlns:ns2="14347AC9-2823-4A4E-BBBD-06E988584694" xmlns:ns3="61c59613-fa3d-49ac-a488-29be1c5cd5ec" targetNamespace="http://schemas.microsoft.com/office/2006/metadata/properties" ma:root="true" ma:fieldsID="06cca02b2d542caaee96ad86152b80a0" ns1:_="" ns2:_="" ns3:_="">
    <xsd:import namespace="http://schemas.microsoft.com/sharepoint/v3"/>
    <xsd:import namespace="14347AC9-2823-4A4E-BBBD-06E988584694"/>
    <xsd:import namespace="61c59613-fa3d-49ac-a488-29be1c5cd5ec"/>
    <xsd:element name="properties">
      <xsd:complexType>
        <xsd:sequence>
          <xsd:element name="documentManagement">
            <xsd:complexType>
              <xsd:all>
                <xsd:element ref="ns1:PublishingStartDate" minOccurs="0"/>
                <xsd:element ref="ns1:PublishingExpirationDate" minOccurs="0"/>
                <xsd:element ref="ns2:Email_x0020_Subject" minOccurs="0"/>
                <xsd:element ref="ns2:Email_x0020_From" minOccurs="0"/>
                <xsd:element ref="ns2:Email_x0020_To" minOccurs="0"/>
                <xsd:element ref="ns2:Email_x0020_Cc" minOccurs="0"/>
                <xsd:element ref="ns2:Email_x0020_DateTime" minOccurs="0"/>
                <xsd:element ref="ns2:Email_x0020_Importance"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4"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5"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4347AC9-2823-4A4E-BBBD-06E988584694" elementFormDefault="qualified">
    <xsd:import namespace="http://schemas.microsoft.com/office/2006/documentManagement/types"/>
    <xsd:import namespace="http://schemas.microsoft.com/office/infopath/2007/PartnerControls"/>
    <xsd:element name="Email_x0020_Subject" ma:index="6" nillable="true" ma:displayName="Email Subject" ma:internalName="Email_x0020_Subject" ma:readOnly="false">
      <xsd:simpleType>
        <xsd:restriction base="dms:Text">
          <xsd:maxLength value="255"/>
        </xsd:restriction>
      </xsd:simpleType>
    </xsd:element>
    <xsd:element name="Email_x0020_From" ma:index="7" nillable="true" ma:displayName="Email From" ma:internalName="Email_x0020_From" ma:readOnly="false">
      <xsd:simpleType>
        <xsd:restriction base="dms:Text">
          <xsd:maxLength value="255"/>
        </xsd:restriction>
      </xsd:simpleType>
    </xsd:element>
    <xsd:element name="Email_x0020_To" ma:index="8" nillable="true" ma:displayName="Email To" ma:internalName="Email_x0020_To" ma:readOnly="false">
      <xsd:simpleType>
        <xsd:restriction base="dms:Text">
          <xsd:maxLength value="255"/>
        </xsd:restriction>
      </xsd:simpleType>
    </xsd:element>
    <xsd:element name="Email_x0020_Cc" ma:index="9" nillable="true" ma:displayName="Email Cc" ma:internalName="Email_x0020_Cc" ma:readOnly="false">
      <xsd:simpleType>
        <xsd:restriction base="dms:Text">
          <xsd:maxLength value="255"/>
        </xsd:restriction>
      </xsd:simpleType>
    </xsd:element>
    <xsd:element name="Email_x0020_DateTime" ma:index="10" nillable="true" ma:displayName="Email DateTime" ma:format="DateTime" ma:internalName="Email_x0020_DateTime" ma:readOnly="false">
      <xsd:simpleType>
        <xsd:restriction base="dms:DateTime"/>
      </xsd:simpleType>
    </xsd:element>
    <xsd:element name="Email_x0020_Importance" ma:index="11" nillable="true" ma:displayName="Email Importance" ma:internalName="Email_x0020_Importance"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1c59613-fa3d-49ac-a488-29be1c5cd5ec"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2"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A6A8674-9DE9-42BC-8FED-11ECC9896DE3}">
  <ds:schemaRefs>
    <ds:schemaRef ds:uri="http://purl.org/dc/dcmitype/"/>
    <ds:schemaRef ds:uri="http://www.w3.org/XML/1998/namespace"/>
    <ds:schemaRef ds:uri="http://schemas.microsoft.com/office/2006/documentManagement/types"/>
    <ds:schemaRef ds:uri="http://schemas.microsoft.com/office/infopath/2007/PartnerControls"/>
    <ds:schemaRef ds:uri="14347AC9-2823-4A4E-BBBD-06E988584694"/>
    <ds:schemaRef ds:uri="http://purl.org/dc/elements/1.1/"/>
    <ds:schemaRef ds:uri="http://schemas.microsoft.com/sharepoint/v3"/>
    <ds:schemaRef ds:uri="http://schemas.openxmlformats.org/package/2006/metadata/core-properties"/>
    <ds:schemaRef ds:uri="61c59613-fa3d-49ac-a488-29be1c5cd5ec"/>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03F3775A-B3EB-489E-AB5D-D1B1F021EC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4347AC9-2823-4A4E-BBBD-06E988584694"/>
    <ds:schemaRef ds:uri="61c59613-fa3d-49ac-a488-29be1c5cd5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0D771BE-115D-4346-81B8-4EB455543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1</vt:i4>
      </vt:variant>
    </vt:vector>
  </HeadingPairs>
  <TitlesOfParts>
    <vt:vector size="4" baseType="lpstr">
      <vt:lpstr>runstep</vt:lpstr>
      <vt:lpstr>Summary</vt:lpstr>
      <vt:lpstr>data</vt:lpstr>
      <vt:lpstr>UNIT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Rao, June (SH/Trusted)</dc:creator>
  <cp:lastModifiedBy>涵 王</cp:lastModifiedBy>
  <dcterms:created xsi:type="dcterms:W3CDTF">2026-03-12T02:26:28Z</dcterms:created>
  <dcterms:modified xsi:type="dcterms:W3CDTF">2026-03-25T16:27:30Z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0x010100580E05C2DD46FB4D9EAB6CDB7B7EA83F</vt:lpwstr>
  </property>
</Properties>
</file>